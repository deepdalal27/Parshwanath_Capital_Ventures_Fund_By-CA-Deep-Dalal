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Summary" sheetId="2" state="visible" r:id="rId2"/>
    <sheet name="Assumptions" sheetId="3" state="visible" r:id="rId3"/>
    <sheet name="DCF" sheetId="4" state="visible" r:id="rId4"/>
    <sheet name="Peers" sheetId="5" state="visible" r:id="rId5"/>
    <sheet name="Relative" sheetId="6" state="visible" r:id="rId6"/>
    <sheet name="ReverseDCF" sheetId="7" state="visible" r:id="rId7"/>
    <sheet name="Sensitivity" sheetId="8" state="visible" r:id="rId8"/>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color rgb="000000FF"/>
      <sz val="10"/>
    </font>
    <font>
      <name val="Calibri"/>
      <color rgb="00000000"/>
      <sz val="10"/>
    </font>
    <font>
      <b val="1"/>
      <color rgb="001F3864"/>
      <sz val="11"/>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6" fillId="0" borderId="0" pivotButton="0" quotePrefix="0" xfId="0"/>
    <xf numFmtId="0" fontId="2" fillId="0" borderId="0" applyAlignment="1" pivotButton="0" quotePrefix="0" xfId="0">
      <alignment vertical="top" wrapText="1"/>
    </xf>
    <xf numFmtId="0" fontId="8" fillId="0" borderId="1" pivotButton="0" quotePrefix="0" xfId="0"/>
    <xf numFmtId="0" fontId="7" fillId="4" borderId="1" applyAlignment="1" pivotButton="0" quotePrefix="0" xfId="0">
      <alignment vertical="center" wrapText="1"/>
    </xf>
    <xf numFmtId="0" fontId="3" fillId="0" borderId="1" pivotButton="0" quotePrefix="0" xfId="0"/>
    <xf numFmtId="4" fontId="8" fillId="0" borderId="1" pivotButton="0" quotePrefix="0" xfId="0"/>
    <xf numFmtId="10" fontId="5" fillId="0" borderId="1" pivotButton="0" quotePrefix="0" xfId="0"/>
    <xf numFmtId="4" fontId="5" fillId="3" borderId="1" pivotButton="0" quotePrefix="0" xfId="0"/>
    <xf numFmtId="0" fontId="5" fillId="0" borderId="1" pivotButton="0" quotePrefix="0" xfId="0"/>
    <xf numFmtId="4" fontId="5" fillId="0" borderId="1" pivotButton="0" quotePrefix="0" xfId="0"/>
    <xf numFmtId="0" fontId="4" fillId="3" borderId="1" pivotButton="0" quotePrefix="0" xfId="0"/>
    <xf numFmtId="4" fontId="4" fillId="2" borderId="1" pivotButton="0" quotePrefix="0" xfId="0"/>
    <xf numFmtId="10" fontId="4" fillId="2" borderId="1" pivotButton="0" quotePrefix="0" xfId="0"/>
    <xf numFmtId="0" fontId="2" fillId="0" borderId="0" applyAlignment="1" pivotButton="0" quotePrefix="0" xfId="0">
      <alignment vertical="top"/>
    </xf>
    <xf numFmtId="1" fontId="4" fillId="3" borderId="1" pivotButton="0" quotePrefix="0" xfId="0"/>
    <xf numFmtId="0" fontId="5" fillId="0" borderId="0" pivotButton="0" quotePrefix="0" xfId="0"/>
    <xf numFmtId="0" fontId="4" fillId="2" borderId="1" pivotButton="0" quotePrefix="0" xfId="0"/>
    <xf numFmtId="0" fontId="2" fillId="0" borderId="0" pivotButton="0" quotePrefix="0" xfId="0"/>
    <xf numFmtId="2" fontId="4" fillId="2" borderId="1" pivotButton="0" quotePrefix="0" xfId="0"/>
    <xf numFmtId="10" fontId="5" fillId="3" borderId="1" pivotButton="0" quotePrefix="0" xfId="0"/>
    <xf numFmtId="164" fontId="5" fillId="0" borderId="1" pivotButton="0" quotePrefix="0" xfId="0"/>
    <xf numFmtId="10" fontId="8" fillId="0" borderId="1" pivotButton="0" quotePrefix="0" xfId="0"/>
    <xf numFmtId="165" fontId="5" fillId="0" borderId="1" pivotButton="0" quotePrefix="0" xfId="0"/>
    <xf numFmtId="166" fontId="5" fillId="0" borderId="1" pivotButton="0" quotePrefix="0" xfId="0"/>
    <xf numFmtId="166" fontId="5" fillId="3" borderId="1" pivotButton="0" quotePrefix="0" xfId="0"/>
    <xf numFmtId="166"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ht="24" customHeight="1">
      <c r="A1" s="1" t="inlineStr">
        <is>
          <t>Peer Comps &amp; Valuation Model</t>
        </is>
      </c>
    </row>
    <row r="2" ht="20" customHeight="1">
      <c r="A2" s="2" t="inlineStr">
        <is>
          <t>Parshwanath Capital Ventures Fund | SEBI Registered CAT III AIF | IN/AIF3/25-26/2108 | Fund Manager: CA Deep Dalal | Sponsor: Jignesh Shah</t>
        </is>
      </c>
    </row>
    <row r="4">
      <c r="A4" t="inlineStr">
        <is>
          <t>Sheets: Assumptions (only input sheet) &gt; Peers &gt; Relative &gt; DCF &gt; ReverseDCF &gt; Sensitivity &gt; Summary.</t>
        </is>
      </c>
    </row>
    <row r="5">
      <c r="A5" t="inlineStr">
        <is>
          <t>Scenario toggle: Assumptions!C5 (1 = Bear, 2 = Neutral, 3 = Bull). Every driver needs a rationale and page cite.</t>
        </is>
      </c>
    </row>
    <row r="6">
      <c r="A6" t="inlineStr">
        <is>
          <t>DCF and relative values are shown separately, then blended (default 60:40; use 80:20 if no listed peers).</t>
        </is>
      </c>
    </row>
    <row r="7">
      <c r="A7" t="inlineStr">
        <is>
          <t>Terminal growth 4.50%. Capex = D&amp;A + k x change in revenue. Terminal reinvestment = g / terminal ROIC.</t>
        </is>
      </c>
    </row>
    <row r="8">
      <c r="A8" t="inlineStr">
        <is>
          <t>Bear case excludes the IPO-funded capex object AND its funding. Share count is post-issue, fully diluted.</t>
        </is>
      </c>
    </row>
    <row r="9">
      <c r="A9" t="inlineStr">
        <is>
          <t>Peer multiples: P/E, EV/EBITDA, P/B. EV/Sales is deliberately excluded.</t>
        </is>
      </c>
    </row>
    <row r="10">
      <c r="A10" t="inlineStr">
        <is>
          <t>Match peers on business model before industry code, and on the same basis (consolidated / standalone).</t>
        </is>
      </c>
    </row>
    <row r="11">
      <c r="A11" t="inlineStr">
        <is>
          <t>Upside is reported as % only. Grey market premium never moves fair value.</t>
        </is>
      </c>
    </row>
    <row r="12">
      <c r="A12" t="inlineStr"/>
    </row>
    <row r="13">
      <c r="A13" t="inlineStr">
        <is>
          <t>Colours: blue = input | black = formula | green = link | yellow = key cell.</t>
        </is>
      </c>
    </row>
    <row r="14">
      <c r="A14" s="3" t="inlineStr">
        <is>
          <t>Issuer build: figures from the offer document (page cites in notes). BLANK cell = declared data gap.</t>
        </is>
      </c>
    </row>
    <row r="15">
      <c r="A15" t="inlineStr"/>
    </row>
    <row r="16">
      <c r="A16"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8">
      <c r="A18" s="4" t="inlineStr">
        <is>
          <t>Disclaimer and disclosures</t>
        </is>
      </c>
    </row>
    <row r="19" ht="45" customHeight="1">
      <c r="A19"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0" ht="60" customHeight="1">
      <c r="A20"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1" ht="45" customHeight="1">
      <c r="A21"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2" ht="75" customHeight="1">
      <c r="A22"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3" ht="45" customHeight="1">
      <c r="A23"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4" ht="45" customHeight="1">
      <c r="A24"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5" ht="15" customHeight="1">
      <c r="A25" s="5" t="inlineStr">
        <is>
          <t>Investments in securities market are subject to market risks. Read all the related documents carefully before investing.</t>
        </is>
      </c>
    </row>
    <row r="26" ht="15" customHeight="1">
      <c r="A26" s="5" t="inlineStr">
        <is>
          <t>Registration granted by SEBI in no way guarantees performance of the Fund or its Manager or provides any assurance of returns to investors.</t>
        </is>
      </c>
    </row>
    <row r="27" ht="15" customHeight="1">
      <c r="A27"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2" customWidth="1" min="1" max="1"/>
    <col width="40" customWidth="1" min="2" max="2"/>
    <col width="34" customWidth="1" min="3" max="3"/>
    <col width="16" customWidth="1" min="4" max="4"/>
    <col width="16" customWidth="1" min="5" max="5"/>
  </cols>
  <sheetData>
    <row r="1" ht="24" customHeight="1">
      <c r="A1" s="1" t="inlineStr">
        <is>
          <t>Valuation summary</t>
        </is>
      </c>
    </row>
    <row r="2" ht="20" customHeight="1">
      <c r="A2" s="2" t="inlineStr">
        <is>
          <t>Parshwanath Capital Ventures Fund | SEBI Registered CAT III AIF | IN/AIF3/25-26/2108 | Fund Manager: CA Deep Dalal | Sponsor: Jignesh Shah</t>
        </is>
      </c>
    </row>
    <row r="4">
      <c r="B4" s="6">
        <f>"Scenario: "&amp;Assumptions!$D$5&amp;"  |  Issuer: "&amp;'Assumptions'!$C$8</f>
        <v/>
      </c>
    </row>
    <row r="6">
      <c r="B6" s="7" t="inlineStr">
        <is>
          <t>Method</t>
        </is>
      </c>
      <c r="C6" s="7" t="inlineStr">
        <is>
          <t>Value / share (Rs)</t>
        </is>
      </c>
      <c r="D6" s="7" t="inlineStr">
        <is>
          <t>Upside vs floor</t>
        </is>
      </c>
      <c r="E6" s="7" t="inlineStr">
        <is>
          <t>Upside vs cap</t>
        </is>
      </c>
    </row>
    <row r="7">
      <c r="B7" s="8" t="inlineStr">
        <is>
          <t>DCF</t>
        </is>
      </c>
      <c r="C7" s="9">
        <f>DCF!C37</f>
        <v/>
      </c>
      <c r="D7" s="10">
        <f>IFERROR(C7/'Assumptions'!$C$15-1,"")</f>
        <v/>
      </c>
      <c r="E7" s="10">
        <f>IFERROR(C7/'Assumptions'!$C$16-1,"")</f>
        <v/>
      </c>
    </row>
    <row r="8">
      <c r="B8" s="8" t="inlineStr">
        <is>
          <t>Relative</t>
        </is>
      </c>
      <c r="C8" s="9">
        <f>Relative!F11</f>
        <v/>
      </c>
      <c r="D8" s="10">
        <f>IFERROR(C8/'Assumptions'!$C$15-1,"")</f>
        <v/>
      </c>
      <c r="E8" s="10">
        <f>IFERROR(C8/'Assumptions'!$C$16-1,"")</f>
        <v/>
      </c>
    </row>
    <row r="9">
      <c r="B9" s="8" t="inlineStr">
        <is>
          <t>Blended (DCF weight per Assumptions)</t>
        </is>
      </c>
      <c r="C9" s="11">
        <f>IF(ISNUMBER(C8),'Assumptions'!$C$48*C7+(1-'Assumptions'!$C$48)*C8,C7)</f>
        <v/>
      </c>
      <c r="D9" s="10">
        <f>IFERROR(C9/'Assumptions'!$C$15-1,"")</f>
        <v/>
      </c>
      <c r="E9" s="10">
        <f>IFERROR(C9/'Assumptions'!$C$16-1,"")</f>
        <v/>
      </c>
    </row>
    <row r="11">
      <c r="B11" s="8" t="inlineStr">
        <is>
          <t>DCF vs relative divergence</t>
        </is>
      </c>
      <c r="C11" s="10">
        <f>IFERROR(C7/C8-1,"n.a.")</f>
        <v/>
      </c>
    </row>
    <row r="12">
      <c r="B12" s="8" t="inlineStr">
        <is>
          <t>Divergence flag</t>
        </is>
      </c>
      <c r="C12" s="12">
        <f>IF(ISNUMBER(C11),IF(ABS(C11)&gt;0.25,"AMBER: DCF and relative diverge by "&amp;TEXT(C11,"0.0%")&amp;" - the divergence is the finding; name its cause","OK"),"n.a.")</f>
        <v/>
      </c>
    </row>
    <row r="13">
      <c r="B13" s="8" t="inlineStr">
        <is>
          <t>Objects floor price</t>
        </is>
      </c>
      <c r="C13" s="13">
        <f>'Assumptions'!$C$63</f>
        <v/>
      </c>
    </row>
    <row r="14">
      <c r="B14" s="8" t="inlineStr">
        <is>
          <t>Objects floor vs blended value</t>
        </is>
      </c>
      <c r="C14" s="12">
        <f>IF(ISNUMBER(C13),IF(C13&gt;C9,"RED: objects floor sits above blended fair value","OK"),"n.a.")</f>
        <v/>
      </c>
    </row>
    <row r="15">
      <c r="B15" s="8" t="inlineStr">
        <is>
          <t>Terminal value share</t>
        </is>
      </c>
      <c r="C15" s="12">
        <f>DCF!C40</f>
        <v/>
      </c>
    </row>
    <row r="16">
      <c r="B16" s="8" t="inlineStr">
        <is>
          <t>WACC - g</t>
        </is>
      </c>
      <c r="C16" s="12">
        <f>DCF!C41</f>
        <v/>
      </c>
    </row>
    <row r="17">
      <c r="B17" s="8" t="inlineStr">
        <is>
          <t>Terminal ROIC vs WACC</t>
        </is>
      </c>
      <c r="C17" s="12">
        <f>DCF!C42</f>
        <v/>
      </c>
    </row>
    <row r="18">
      <c r="B18" s="8" t="inlineStr">
        <is>
          <t>Reverse DCF (at cap)</t>
        </is>
      </c>
      <c r="C18" s="12">
        <f>ReverseDCF!C16</f>
        <v/>
      </c>
    </row>
    <row r="20">
      <c r="B20" s="8" t="inlineStr">
        <is>
          <t>Call (Subscribe / Avoid / Neutral)</t>
        </is>
      </c>
      <c r="C20" s="14" t="inlineStr"/>
    </row>
    <row r="22">
      <c r="B22" s="3" t="inlineStr">
        <is>
          <t>Record of all three scenarios (switch Assumptions!C5, paste values here)</t>
        </is>
      </c>
    </row>
    <row r="23">
      <c r="B23" s="7" t="inlineStr"/>
      <c r="C23" s="7" t="inlineStr">
        <is>
          <t>Bear</t>
        </is>
      </c>
      <c r="D23" s="7" t="inlineStr">
        <is>
          <t>Neutral</t>
        </is>
      </c>
      <c r="E23" s="7" t="inlineStr">
        <is>
          <t>Bull</t>
        </is>
      </c>
    </row>
    <row r="24">
      <c r="B24" t="inlineStr">
        <is>
          <t>DCF / share</t>
        </is>
      </c>
      <c r="C24" s="15" t="n"/>
      <c r="D24" s="15" t="n"/>
      <c r="E24" s="15" t="n"/>
    </row>
    <row r="25">
      <c r="B25" t="inlineStr">
        <is>
          <t>Relative / share</t>
        </is>
      </c>
      <c r="C25" s="15" t="n"/>
      <c r="D25" s="15" t="n"/>
      <c r="E25" s="15" t="n"/>
    </row>
    <row r="26">
      <c r="B26" t="inlineStr">
        <is>
          <t>Blended / share</t>
        </is>
      </c>
      <c r="C26" s="15" t="n"/>
      <c r="D26" s="15" t="n"/>
      <c r="E26" s="15" t="n"/>
    </row>
    <row r="27">
      <c r="B27" t="inlineStr">
        <is>
          <t>Upside vs cap</t>
        </is>
      </c>
      <c r="C27" s="16" t="n"/>
      <c r="D27" s="16" t="n"/>
      <c r="E27" s="16" t="n"/>
    </row>
    <row r="29">
      <c r="B29" s="17" t="inlineStr">
        <is>
          <t>Upside is reported as a percentage only. No position sizing. Returns are pre-tax.</t>
        </is>
      </c>
    </row>
    <row r="31">
      <c r="B31"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2:C17">
    <cfRule type="expression" priority="1" dxfId="0">
      <formula>LEFT(C12,3)="RED"</formula>
    </cfRule>
    <cfRule type="expression" priority="2" dxfId="0">
      <formula>LEFT(C12,4)="FAIL"</formula>
    </cfRule>
    <cfRule type="expression" priority="3" dxfId="0">
      <formula>LEFT(C12,12)="INCONSISTENT"</formula>
    </cfRule>
    <cfRule type="expression" priority="4" dxfId="0">
      <formula>LEFT(C12,10)="DEGENERATE"</formula>
    </cfRule>
    <cfRule type="expression" priority="5" dxfId="1">
      <formula>LEFT(C12,5)="AMBER"</formula>
    </cfRule>
    <cfRule type="expression" priority="6" dxfId="1">
      <formula>LEFT(C12,5)="WATCH"</formula>
    </cfRule>
    <cfRule type="expression" priority="7" dxfId="2">
      <formula>LEFT(C12,2)="OK"</formula>
    </cfRule>
    <cfRule type="expression" priority="8" dxfId="2">
      <formula>LEFT(C12,4)="PASS"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2" customWidth="1" min="1" max="1"/>
    <col width="50" customWidth="1" min="2" max="2"/>
    <col width="30" customWidth="1" min="3" max="3"/>
    <col width="10" customWidth="1" min="4" max="4"/>
    <col width="14" customWidth="1" min="5" max="5"/>
    <col width="14" customWidth="1" min="6" max="6"/>
    <col width="14" customWidth="1" min="7" max="7"/>
    <col width="44" customWidth="1" min="8" max="8"/>
  </cols>
  <sheetData>
    <row r="1" ht="24" customHeight="1">
      <c r="A1" s="1" t="inlineStr">
        <is>
          <t>Assumptions - the only input sheet</t>
        </is>
      </c>
    </row>
    <row r="2" ht="20" customHeight="1">
      <c r="A2" s="2" t="inlineStr">
        <is>
          <t>Parshwanath Capital Ventures Fund | SEBI Registered CAT III AIF | IN/AIF3/25-26/2108 | Fund Manager: CA Deep Dalal | Sponsor: Jignesh Shah</t>
        </is>
      </c>
    </row>
    <row r="5">
      <c r="B5" s="3" t="inlineStr">
        <is>
          <t>Scenario (1 = Bear, 2 = Neutral, 3 = Bull)</t>
        </is>
      </c>
      <c r="C5" s="18" t="n">
        <v>2</v>
      </c>
      <c r="D5" s="12">
        <f>CHOOSE($C$5,"Bear","Neutral","Bull")</f>
        <v/>
      </c>
    </row>
    <row r="7">
      <c r="B7" s="4" t="inlineStr">
        <is>
          <t>Issuer and offer</t>
        </is>
      </c>
    </row>
    <row r="8">
      <c r="B8" s="19" t="inlineStr">
        <is>
          <t>Issuer</t>
        </is>
      </c>
      <c r="C8" s="20" t="inlineStr">
        <is>
          <t>Royal Chain Limited</t>
        </is>
      </c>
      <c r="D8" s="21" t="inlineStr"/>
    </row>
    <row r="9">
      <c r="B9" s="19" t="inlineStr">
        <is>
          <t>Financial basis</t>
        </is>
      </c>
      <c r="C9" s="20" t="inlineStr">
        <is>
          <t>Standalone</t>
        </is>
      </c>
      <c r="D9" s="21" t="inlineStr"/>
      <c r="E9" s="17" t="inlineStr">
        <is>
          <t>Use the same basis for every peer</t>
        </is>
      </c>
    </row>
    <row r="10">
      <c r="B10" s="19" t="inlineStr">
        <is>
          <t>Pre-issue shares, fully diluted (post any bonus)</t>
        </is>
      </c>
      <c r="C10" s="15" t="n">
        <v>12.5344092</v>
      </c>
      <c r="D10" s="21" t="inlineStr">
        <is>
          <t>crore</t>
        </is>
      </c>
      <c r="E10" s="17" t="inlineStr">
        <is>
          <t>Check bonus restatement (forensic check 1)</t>
        </is>
      </c>
    </row>
    <row r="11">
      <c r="B11" s="19" t="inlineStr">
        <is>
          <t>ESOP / convertibles outstanding</t>
        </is>
      </c>
      <c r="C11" s="15" t="n">
        <v>0</v>
      </c>
      <c r="D11" s="21" t="inlineStr">
        <is>
          <t>crore</t>
        </is>
      </c>
    </row>
    <row r="12">
      <c r="B12" s="19" t="inlineStr">
        <is>
          <t>Fresh issue amount (fixed at objects need)</t>
        </is>
      </c>
      <c r="C12" s="15" t="n">
        <v>850</v>
      </c>
      <c r="D12" s="21" t="inlineStr">
        <is>
          <t>Rs cr</t>
        </is>
      </c>
    </row>
    <row r="13">
      <c r="B13" s="19" t="inlineStr">
        <is>
          <t>Fresh shares fixed in DRHP (0 if amount-based)</t>
        </is>
      </c>
      <c r="C13" s="15" t="n">
        <v>0</v>
      </c>
      <c r="D13" s="21" t="inlineStr">
        <is>
          <t>crore</t>
        </is>
      </c>
    </row>
    <row r="14">
      <c r="B14" s="19" t="inlineStr">
        <is>
          <t>OFS shares (no effect on share count)</t>
        </is>
      </c>
      <c r="C14" s="15" t="n"/>
      <c r="D14" s="21" t="inlineStr">
        <is>
          <t>crore</t>
        </is>
      </c>
    </row>
    <row r="15">
      <c r="B15" s="19" t="inlineStr">
        <is>
          <t>Price band - floor</t>
        </is>
      </c>
      <c r="C15" s="15" t="n">
        <v>147.33</v>
      </c>
      <c r="D15" s="21" t="inlineStr">
        <is>
          <t>Rs</t>
        </is>
      </c>
    </row>
    <row r="16">
      <c r="B16" s="19" t="inlineStr">
        <is>
          <t>Price band - cap</t>
        </is>
      </c>
      <c r="C16" s="15" t="n">
        <v>147.33</v>
      </c>
      <c r="D16" s="21" t="inlineStr">
        <is>
          <t>Rs</t>
        </is>
      </c>
    </row>
    <row r="17">
      <c r="B17" s="19" t="inlineStr">
        <is>
          <t>Valuation reference price</t>
        </is>
      </c>
      <c r="C17" s="13">
        <f>'Assumptions'!$C$16</f>
        <v/>
      </c>
      <c r="D17" s="21" t="inlineStr">
        <is>
          <t>Rs</t>
        </is>
      </c>
      <c r="E17" s="17" t="inlineStr">
        <is>
          <t>Defaults to cap; overwrite if needed</t>
        </is>
      </c>
    </row>
    <row r="18">
      <c r="B18" s="19" t="inlineStr">
        <is>
          <t>Specific objects (excl. GCP and offer expenses)</t>
        </is>
      </c>
      <c r="C18" s="15" t="n">
        <v>650</v>
      </c>
      <c r="D18" s="21" t="inlineStr">
        <is>
          <t>Rs cr</t>
        </is>
      </c>
    </row>
    <row r="19">
      <c r="B19" s="19" t="inlineStr">
        <is>
          <t>Offer expenses as % of fresh issue</t>
        </is>
      </c>
      <c r="C19" s="16" t="n"/>
      <c r="D19" s="21" t="inlineStr"/>
    </row>
    <row r="20">
      <c r="B20" s="19" t="inlineStr">
        <is>
          <t>GCP as % of fresh issue</t>
        </is>
      </c>
      <c r="C20" s="16" t="n"/>
      <c r="D20" s="21" t="inlineStr"/>
      <c r="E20" s="17" t="inlineStr">
        <is>
          <t>Check against regulatory cap</t>
        </is>
      </c>
    </row>
    <row r="21">
      <c r="B21" s="19" t="inlineStr">
        <is>
          <t>IPO-funded capex object</t>
        </is>
      </c>
      <c r="C21" s="15" t="n">
        <v>0</v>
      </c>
      <c r="D21" s="21" t="inlineStr">
        <is>
          <t>Rs cr</t>
        </is>
      </c>
    </row>
    <row r="22">
      <c r="B22" s="19" t="inlineStr">
        <is>
          <t>Share of IPO capex spent in Y1 (rest in Y2)</t>
        </is>
      </c>
      <c r="C22" s="16" t="n">
        <v>0.6</v>
      </c>
      <c r="D22" s="21" t="inlineStr"/>
    </row>
    <row r="24">
      <c r="B24" s="4" t="inlineStr">
        <is>
          <t>Latest audited year (restated) - never annualise a stub</t>
        </is>
      </c>
    </row>
    <row r="25">
      <c r="B25" s="19" t="inlineStr">
        <is>
          <t>Revenue from operations</t>
        </is>
      </c>
      <c r="C25" s="15" t="n">
        <v>4732.45</v>
      </c>
      <c r="D25" s="21" t="inlineStr">
        <is>
          <t>Rs cr</t>
        </is>
      </c>
    </row>
    <row r="26">
      <c r="B26" s="19" t="inlineStr">
        <is>
          <t>Revenue - prior year</t>
        </is>
      </c>
      <c r="C26" s="15" t="n">
        <v>3617.177</v>
      </c>
      <c r="D26" s="21" t="inlineStr">
        <is>
          <t>Rs cr</t>
        </is>
      </c>
    </row>
    <row r="27">
      <c r="B27" s="19" t="inlineStr">
        <is>
          <t>EBITDA (ties to issuer KPI table)</t>
        </is>
      </c>
      <c r="C27" s="15" t="n">
        <v>288.229</v>
      </c>
      <c r="D27" s="21" t="inlineStr">
        <is>
          <t>Rs cr</t>
        </is>
      </c>
    </row>
    <row r="28">
      <c r="B28" s="19" t="inlineStr">
        <is>
          <t>Depreciation &amp; amortisation</t>
        </is>
      </c>
      <c r="C28" s="15" t="n">
        <v>24.002</v>
      </c>
      <c r="D28" s="21" t="inlineStr">
        <is>
          <t>Rs cr</t>
        </is>
      </c>
    </row>
    <row r="29">
      <c r="B29" s="19" t="inlineStr">
        <is>
          <t>PAT</t>
        </is>
      </c>
      <c r="C29" s="15" t="n">
        <v>173.342</v>
      </c>
      <c r="D29" s="21" t="inlineStr">
        <is>
          <t>Rs cr</t>
        </is>
      </c>
    </row>
    <row r="30">
      <c r="B30" s="19" t="inlineStr">
        <is>
          <t>Net worth (pre-issue)</t>
        </is>
      </c>
      <c r="C30" s="15" t="n">
        <v>465.751</v>
      </c>
      <c r="D30" s="21" t="inlineStr">
        <is>
          <t>Rs cr</t>
        </is>
      </c>
    </row>
    <row r="31">
      <c r="B31" s="19" t="inlineStr">
        <is>
          <t>Net debt (borrowings - cash)</t>
        </is>
      </c>
      <c r="C31" s="15" t="n">
        <v>593.926</v>
      </c>
      <c r="D31" s="21" t="inlineStr">
        <is>
          <t>Rs cr</t>
        </is>
      </c>
    </row>
    <row r="32">
      <c r="B32" s="19" t="inlineStr">
        <is>
          <t>Net working capital</t>
        </is>
      </c>
      <c r="C32" s="15" t="n">
        <v>917.475</v>
      </c>
      <c r="D32" s="21" t="inlineStr">
        <is>
          <t>Rs cr</t>
        </is>
      </c>
      <c r="E32" s="17" t="inlineStr">
        <is>
          <t>Reconcile to Objects-chapter WC table</t>
        </is>
      </c>
    </row>
    <row r="33">
      <c r="B33" s="19" t="inlineStr">
        <is>
          <t>Net working capital - prior year</t>
        </is>
      </c>
      <c r="C33" s="15" t="n">
        <v>451.244</v>
      </c>
      <c r="D33" s="21" t="inlineStr">
        <is>
          <t>Rs cr</t>
        </is>
      </c>
    </row>
    <row r="34">
      <c r="B34" s="19" t="inlineStr">
        <is>
          <t>Capex (purchase of PPE + intangibles)</t>
        </is>
      </c>
      <c r="C34" s="15" t="n">
        <v>29.37</v>
      </c>
      <c r="D34" s="21" t="inlineStr">
        <is>
          <t>Rs cr</t>
        </is>
      </c>
    </row>
    <row r="35">
      <c r="B35" s="19" t="inlineStr">
        <is>
          <t>Tax rate</t>
        </is>
      </c>
      <c r="C35" s="16" t="n">
        <v>0.2517</v>
      </c>
      <c r="D35" s="21" t="inlineStr"/>
    </row>
    <row r="37">
      <c r="B37" s="4" t="inlineStr">
        <is>
          <t>Cost of capital (CAPM build-up)</t>
        </is>
      </c>
    </row>
    <row r="38">
      <c r="B38" s="19" t="inlineStr">
        <is>
          <t>Risk-free rate (10y G-sec)</t>
        </is>
      </c>
      <c r="C38" s="16" t="n">
        <v>0.065</v>
      </c>
      <c r="D38" s="21" t="inlineStr"/>
    </row>
    <row r="39">
      <c r="B39" s="19" t="inlineStr">
        <is>
          <t>Beta</t>
        </is>
      </c>
      <c r="C39" s="22" t="n">
        <v>1.1</v>
      </c>
      <c r="D39" s="21" t="inlineStr"/>
    </row>
    <row r="40">
      <c r="B40" s="19" t="inlineStr">
        <is>
          <t>Equity risk premium</t>
        </is>
      </c>
      <c r="C40" s="16" t="n">
        <v>0.07000000000000001</v>
      </c>
      <c r="D40" s="21" t="inlineStr"/>
    </row>
    <row r="41">
      <c r="B41" s="19" t="inlineStr">
        <is>
          <t>Size premium</t>
        </is>
      </c>
      <c r="C41" s="16" t="n">
        <v>0.02</v>
      </c>
      <c r="D41" s="21" t="inlineStr"/>
    </row>
    <row r="42">
      <c r="B42" s="19" t="inlineStr">
        <is>
          <t>Company-specific premium</t>
        </is>
      </c>
      <c r="C42" s="16" t="n">
        <v>0.02</v>
      </c>
      <c r="D42" s="21" t="inlineStr"/>
    </row>
    <row r="43">
      <c r="B43" s="19" t="inlineStr">
        <is>
          <t>Pre-tax cost of debt</t>
        </is>
      </c>
      <c r="C43" s="16" t="n">
        <v>0.0815</v>
      </c>
      <c r="D43" s="21" t="inlineStr"/>
    </row>
    <row r="44">
      <c r="B44" s="19" t="inlineStr">
        <is>
          <t>Target debt / (debt + equity)</t>
        </is>
      </c>
      <c r="C44" s="16" t="n">
        <v>0.2</v>
      </c>
      <c r="D44" s="21" t="inlineStr"/>
    </row>
    <row r="45">
      <c r="B45" s="19" t="inlineStr">
        <is>
          <t>Terminal growth</t>
        </is>
      </c>
      <c r="C45" s="16" t="n">
        <v>0.045</v>
      </c>
      <c r="D45" s="21" t="inlineStr"/>
    </row>
    <row r="47">
      <c r="B47" s="4" t="inlineStr">
        <is>
          <t>Blend and relative settings</t>
        </is>
      </c>
    </row>
    <row r="48">
      <c r="B48" s="19" t="inlineStr">
        <is>
          <t>DCF weight in blend</t>
        </is>
      </c>
      <c r="C48" s="16" t="n">
        <v>0.6</v>
      </c>
      <c r="D48" s="21" t="inlineStr"/>
      <c r="E48" s="17" t="inlineStr">
        <is>
          <t>80% where no comparable listed peers</t>
        </is>
      </c>
    </row>
    <row r="49">
      <c r="B49" s="19" t="inlineStr">
        <is>
          <t>Relative weight - P/E</t>
        </is>
      </c>
      <c r="C49" s="16" t="n">
        <v>0.4</v>
      </c>
      <c r="D49" s="21" t="inlineStr"/>
    </row>
    <row r="50">
      <c r="B50" s="19" t="inlineStr">
        <is>
          <t>Relative weight - EV/EBITDA</t>
        </is>
      </c>
      <c r="C50" s="16" t="n">
        <v>0.4</v>
      </c>
      <c r="D50" s="21" t="inlineStr"/>
    </row>
    <row r="51">
      <c r="B51" s="19" t="inlineStr">
        <is>
          <t>Relative weight - P/B</t>
        </is>
      </c>
      <c r="C51" s="16" t="n">
        <v>0.2</v>
      </c>
      <c r="D51" s="21" t="inlineStr"/>
    </row>
    <row r="52">
      <c r="B52" s="19" t="inlineStr">
        <is>
          <t>Discount to peer median</t>
        </is>
      </c>
      <c r="C52" s="16" t="n">
        <v>0.1</v>
      </c>
      <c r="D52" s="21" t="inlineStr"/>
      <c r="E52" s="17" t="inlineStr">
        <is>
          <t>Size, liquidity, business-model gap - state why</t>
        </is>
      </c>
    </row>
    <row r="54">
      <c r="B54" s="4" t="inlineStr">
        <is>
          <t>Derived (formulas)</t>
        </is>
      </c>
    </row>
    <row r="55">
      <c r="B55" s="19" t="inlineStr">
        <is>
          <t>Fresh issue net of offer expenses</t>
        </is>
      </c>
      <c r="C55" s="13">
        <f>'Assumptions'!$C$12*(1-'Assumptions'!$C$19)</f>
        <v/>
      </c>
      <c r="D55" s="21" t="inlineStr">
        <is>
          <t>Rs cr</t>
        </is>
      </c>
    </row>
    <row r="56">
      <c r="B56" s="19" t="inlineStr">
        <is>
          <t>Post-issue diluted shares at reference price</t>
        </is>
      </c>
      <c r="C56" s="13">
        <f>'Assumptions'!$C$10+'Assumptions'!$C$11+IF('Assumptions'!$C$13&gt;0,'Assumptions'!$C$13,'Assumptions'!$C$12/'Assumptions'!$C$17)</f>
        <v/>
      </c>
      <c r="D56" s="21" t="inlineStr">
        <is>
          <t>crore</t>
        </is>
      </c>
    </row>
    <row r="57">
      <c r="B57" s="19" t="inlineStr">
        <is>
          <t>IPO capex used in this scenario</t>
        </is>
      </c>
      <c r="C57" s="13">
        <f>IF(Assumptions!$C$5=1,0,'Assumptions'!$C$21)</f>
        <v/>
      </c>
      <c r="D57" s="21" t="inlineStr">
        <is>
          <t>Rs cr</t>
        </is>
      </c>
      <c r="E57" s="17" t="inlineStr">
        <is>
          <t>Bear: undersubscribed issue does not fund the project</t>
        </is>
      </c>
    </row>
    <row r="58">
      <c r="B58" s="19" t="inlineStr">
        <is>
          <t>Proceeds credited in EV-to-equity bridge</t>
        </is>
      </c>
      <c r="C58" s="13">
        <f>'Assumptions'!$C$55-'Assumptions'!$C$21+'Assumptions'!$C$57</f>
        <v/>
      </c>
      <c r="D58" s="21" t="inlineStr">
        <is>
          <t>Rs cr</t>
        </is>
      </c>
      <c r="E58" s="17" t="inlineStr">
        <is>
          <t>Bear excludes the capex object and its funding</t>
        </is>
      </c>
    </row>
    <row r="59">
      <c r="B59" s="19" t="inlineStr">
        <is>
          <t>Cost of equity</t>
        </is>
      </c>
      <c r="C59" s="10">
        <f>'Assumptions'!$C$38+'Assumptions'!$C$39*'Assumptions'!$C$40+'Assumptions'!$C$41+'Assumptions'!$C$42</f>
        <v/>
      </c>
      <c r="D59" s="21" t="inlineStr"/>
    </row>
    <row r="60">
      <c r="B60" s="19" t="inlineStr">
        <is>
          <t>WACC</t>
        </is>
      </c>
      <c r="C60" s="23">
        <f>(1-'Assumptions'!$C$44)*'Assumptions'!$C$59+'Assumptions'!$C$44*'Assumptions'!$C$43*(1-'Assumptions'!$C$35)</f>
        <v/>
      </c>
      <c r="D60" s="21" t="inlineStr"/>
    </row>
    <row r="61">
      <c r="B61" s="19" t="inlineStr">
        <is>
          <t>D&amp;A % of revenue (latest actual)</t>
        </is>
      </c>
      <c r="C61" s="10">
        <f>'Assumptions'!$C$28/'Assumptions'!$C$25</f>
        <v/>
      </c>
      <c r="D61" s="21" t="inlineStr"/>
    </row>
    <row r="62">
      <c r="B62" s="19" t="inlineStr">
        <is>
          <t>Growth capex per Rs of incremental revenue (k)</t>
        </is>
      </c>
      <c r="C62" s="24">
        <f>MAX(0,('Assumptions'!$C$34-'Assumptions'!$C$28)/('Assumptions'!$C$25-'Assumptions'!$C$26))</f>
        <v/>
      </c>
      <c r="D62" s="21" t="inlineStr"/>
      <c r="E62" s="17" t="inlineStr">
        <is>
          <t>Implied from latest actual year</t>
        </is>
      </c>
    </row>
    <row r="63">
      <c r="B63" s="19" t="inlineStr">
        <is>
          <t>Objects floor price</t>
        </is>
      </c>
      <c r="C63" s="13">
        <f>IF('Assumptions'!$C$13&gt;0,'Assumptions'!$C$18/(1-'Assumptions'!$C$19-'Assumptions'!$C$20)/'Assumptions'!$C$13,"n.a.")</f>
        <v/>
      </c>
      <c r="D63" s="21" t="inlineStr">
        <is>
          <t>Rs</t>
        </is>
      </c>
      <c r="E63" s="17" t="inlineStr">
        <is>
          <t>Funding need / fixed fresh shares (forensic check 5)</t>
        </is>
      </c>
    </row>
    <row r="65">
      <c r="B65" s="3" t="inlineStr">
        <is>
          <t>Scenario drivers</t>
        </is>
      </c>
    </row>
    <row r="66">
      <c r="B66" s="7" t="inlineStr">
        <is>
          <t>Driver</t>
        </is>
      </c>
      <c r="C66" s="7" t="inlineStr">
        <is>
          <t>Selected</t>
        </is>
      </c>
      <c r="D66" s="7" t="inlineStr"/>
      <c r="E66" s="7" t="inlineStr">
        <is>
          <t>Bear</t>
        </is>
      </c>
      <c r="F66" s="7" t="inlineStr">
        <is>
          <t>Neutral</t>
        </is>
      </c>
      <c r="G66" s="7" t="inlineStr">
        <is>
          <t>Bull</t>
        </is>
      </c>
      <c r="H66" s="7" t="inlineStr">
        <is>
          <t>Rationale + page cite</t>
        </is>
      </c>
    </row>
    <row r="67">
      <c r="B67" t="inlineStr">
        <is>
          <t>Revenue growth Y1</t>
        </is>
      </c>
      <c r="C67" s="23">
        <f>INDEX(E67:G67,Assumptions!$C$5)</f>
        <v/>
      </c>
      <c r="E67" s="16" t="n">
        <v>0.08</v>
      </c>
      <c r="F67" s="16" t="n">
        <v>0.18</v>
      </c>
      <c r="G67" s="16" t="n">
        <v>0.25</v>
      </c>
      <c r="H67" s="20" t="inlineStr">
        <is>
          <t>FY25 +53.88%, FY26 +30.83% (p. 111) but production fell 4,491 to 4,005 kg (p. 111): growth was gold price and traded stock, not volume. Bear assumes gold flat and no volume gain; Bull assumes volume uses spare capacity (12,000 kg, ~33% utilised).</t>
        </is>
      </c>
    </row>
    <row r="68">
      <c r="B68" t="inlineStr">
        <is>
          <t>Revenue growth Y2</t>
        </is>
      </c>
      <c r="C68" s="23">
        <f>INDEX(E68:G68,Assumptions!$C$5)</f>
        <v/>
      </c>
      <c r="E68" s="16" t="n">
        <v>0.07000000000000001</v>
      </c>
      <c r="F68" s="16" t="n">
        <v>0.15</v>
      </c>
      <c r="G68" s="16" t="n">
        <v>0.2</v>
      </c>
      <c r="H68" s="20" t="inlineStr">
        <is>
          <t>[rationale + page]</t>
        </is>
      </c>
    </row>
    <row r="69">
      <c r="B69" t="inlineStr">
        <is>
          <t>Revenue growth Y3</t>
        </is>
      </c>
      <c r="C69" s="23">
        <f>INDEX(E69:G69,Assumptions!$C$5)</f>
        <v/>
      </c>
      <c r="E69" s="16" t="n">
        <v>0.06</v>
      </c>
      <c r="F69" s="16" t="n">
        <v>0.12</v>
      </c>
      <c r="G69" s="16" t="n">
        <v>0.16</v>
      </c>
      <c r="H69" s="20" t="inlineStr">
        <is>
          <t>[rationale + page]</t>
        </is>
      </c>
    </row>
    <row r="70">
      <c r="B70" t="inlineStr">
        <is>
          <t>Revenue growth Y4</t>
        </is>
      </c>
      <c r="C70" s="23">
        <f>INDEX(E70:G70,Assumptions!$C$5)</f>
        <v/>
      </c>
      <c r="E70" s="16" t="n">
        <v>0.06</v>
      </c>
      <c r="F70" s="16" t="n">
        <v>0.1</v>
      </c>
      <c r="G70" s="16" t="n">
        <v>0.13</v>
      </c>
      <c r="H70" s="20" t="inlineStr">
        <is>
          <t>[rationale + page]</t>
        </is>
      </c>
    </row>
    <row r="71">
      <c r="B71" t="inlineStr">
        <is>
          <t>Revenue growth Y5</t>
        </is>
      </c>
      <c r="C71" s="23">
        <f>INDEX(E71:G71,Assumptions!$C$5)</f>
        <v/>
      </c>
      <c r="E71" s="16" t="n">
        <v>0.05</v>
      </c>
      <c r="F71" s="16" t="n">
        <v>0.09</v>
      </c>
      <c r="G71" s="16" t="n">
        <v>0.11</v>
      </c>
      <c r="H71" s="20" t="inlineStr">
        <is>
          <t>[rationale + page]</t>
        </is>
      </c>
    </row>
    <row r="72">
      <c r="B72" t="inlineStr">
        <is>
          <t>EBITDA margin Y1-Y5</t>
        </is>
      </c>
      <c r="C72" s="23">
        <f>INDEX(E72:G72,Assumptions!$C$5)</f>
        <v/>
      </c>
      <c r="E72" s="16" t="n">
        <v>0.036</v>
      </c>
      <c r="F72" s="16" t="n">
        <v>0.045</v>
      </c>
      <c r="G72" s="16" t="n">
        <v>0.06</v>
      </c>
      <c r="H72" s="20" t="inlineStr">
        <is>
          <t>EBITDA margin 2.71% / 3.61% / 6.09% FY24-26 (p. 111). FY26 lifted by a rising gold price on a doubled inventory. Bear = FY25 level; Neutral ~3-yr average; Bull holds FY26.</t>
        </is>
      </c>
    </row>
    <row r="73">
      <c r="B73" t="inlineStr">
        <is>
          <t>Net working capital % revenue</t>
        </is>
      </c>
      <c r="C73" s="23">
        <f>INDEX(E73:G73,Assumptions!$C$5)</f>
        <v/>
      </c>
      <c r="E73" s="16" t="n">
        <v>0.22</v>
      </c>
      <c r="F73" s="16" t="n">
        <v>0.19</v>
      </c>
      <c r="G73" s="16" t="n">
        <v>0.15</v>
      </c>
      <c r="H73" s="20" t="inlineStr">
        <is>
          <t>Trade NWC (inventory + receivables - payables) 12.3% / 12.5% / 19.4% of revenue FY24-26 (p. 64).</t>
        </is>
      </c>
    </row>
    <row r="74">
      <c r="B74" t="inlineStr">
        <is>
          <t>Terminal ROIC</t>
        </is>
      </c>
      <c r="C74" s="23">
        <f>INDEX(E74:G74,Assumptions!$C$5)</f>
        <v/>
      </c>
      <c r="E74" s="16" t="n">
        <v>0.12</v>
      </c>
      <c r="F74" s="16" t="n">
        <v>0.16</v>
      </c>
      <c r="G74" s="16" t="n">
        <v>0.2</v>
      </c>
      <c r="H74" s="20" t="inlineStr">
        <is>
          <t>RoCE 24.56% FY26 on the issuer's own definition (p. 111); terminal set below it.</t>
        </is>
      </c>
    </row>
  </sheetData>
  <dataValidations count="1">
    <dataValidation sqref="C9" showDropDown="0" showInputMessage="0" showErrorMessage="0" allowBlank="1" type="list">
      <formula1>"Consolidated,Standalone"</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2" customWidth="1" min="1" max="1"/>
    <col width="40" customWidth="1" min="2" max="2"/>
    <col width="22" customWidth="1" min="3" max="3"/>
    <col width="13" customWidth="1" min="4" max="4"/>
    <col width="13" customWidth="1" min="5" max="5"/>
    <col width="13" customWidth="1" min="6" max="6"/>
    <col width="13" customWidth="1" min="7" max="7"/>
    <col width="13" customWidth="1" min="8" max="8"/>
  </cols>
  <sheetData>
    <row r="1" ht="24" customHeight="1">
      <c r="A1" s="1" t="inlineStr">
        <is>
          <t>Discounted cash flow (FCFF) - selected scenario</t>
        </is>
      </c>
    </row>
    <row r="2" ht="20" customHeight="1">
      <c r="A2" s="2" t="inlineStr">
        <is>
          <t>Parshwanath Capital Ventures Fund | SEBI Registered CAT III AIF | IN/AIF3/25-26/2108 | Fund Manager: CA Deep Dalal | Sponsor: Jignesh Shah</t>
        </is>
      </c>
    </row>
    <row r="3">
      <c r="B3" s="6">
        <f>"Scenario: "&amp;Assumptions!$D$5</f>
        <v/>
      </c>
    </row>
    <row r="5">
      <c r="B5" s="7" t="inlineStr">
        <is>
          <t>Rs cr</t>
        </is>
      </c>
      <c r="C5" s="7" t="inlineStr">
        <is>
          <t>Y0 (actual)</t>
        </is>
      </c>
      <c r="D5" s="7" t="inlineStr">
        <is>
          <t>Y1</t>
        </is>
      </c>
      <c r="E5" s="7" t="inlineStr">
        <is>
          <t>Y2</t>
        </is>
      </c>
      <c r="F5" s="7" t="inlineStr">
        <is>
          <t>Y3</t>
        </is>
      </c>
      <c r="G5" s="7" t="inlineStr">
        <is>
          <t>Y4</t>
        </is>
      </c>
      <c r="H5" s="7" t="inlineStr">
        <is>
          <t>Y5</t>
        </is>
      </c>
    </row>
    <row r="6">
      <c r="B6" t="inlineStr">
        <is>
          <t>Revenue growth</t>
        </is>
      </c>
      <c r="C6" s="25">
        <f>'Assumptions'!$C$25/'Assumptions'!$C$26-1</f>
        <v/>
      </c>
      <c r="D6" s="25">
        <f>Assumptions!$C$67</f>
        <v/>
      </c>
      <c r="E6" s="25">
        <f>Assumptions!$C$68</f>
        <v/>
      </c>
      <c r="F6" s="25">
        <f>Assumptions!$C$69</f>
        <v/>
      </c>
      <c r="G6" s="25">
        <f>Assumptions!$C$70</f>
        <v/>
      </c>
      <c r="H6" s="25">
        <f>Assumptions!$C$71</f>
        <v/>
      </c>
    </row>
    <row r="7">
      <c r="B7" t="inlineStr">
        <is>
          <t>Revenue</t>
        </is>
      </c>
      <c r="C7" s="9">
        <f>'Assumptions'!$C$25</f>
        <v/>
      </c>
      <c r="D7" s="13">
        <f>C7*(1+D6)</f>
        <v/>
      </c>
      <c r="E7" s="13">
        <f>D7*(1+E6)</f>
        <v/>
      </c>
      <c r="F7" s="13">
        <f>E7*(1+F6)</f>
        <v/>
      </c>
      <c r="G7" s="13">
        <f>F7*(1+G6)</f>
        <v/>
      </c>
      <c r="H7" s="13">
        <f>G7*(1+H6)</f>
        <v/>
      </c>
    </row>
    <row r="8">
      <c r="B8" t="inlineStr">
        <is>
          <t>EBITDA margin</t>
        </is>
      </c>
      <c r="C8" s="25">
        <f>'Assumptions'!$C$27/'Assumptions'!$C$25</f>
        <v/>
      </c>
      <c r="D8" s="25">
        <f>Assumptions!$C$72</f>
        <v/>
      </c>
      <c r="E8" s="25">
        <f>Assumptions!$C$72</f>
        <v/>
      </c>
      <c r="F8" s="25">
        <f>Assumptions!$C$72</f>
        <v/>
      </c>
      <c r="G8" s="25">
        <f>Assumptions!$C$72</f>
        <v/>
      </c>
      <c r="H8" s="25">
        <f>Assumptions!$C$72</f>
        <v/>
      </c>
    </row>
    <row r="9">
      <c r="B9" t="inlineStr">
        <is>
          <t>EBITDA</t>
        </is>
      </c>
      <c r="C9" s="9">
        <f>'Assumptions'!$C$27</f>
        <v/>
      </c>
      <c r="D9" s="13">
        <f>D7*D8</f>
        <v/>
      </c>
      <c r="E9" s="13">
        <f>E7*E8</f>
        <v/>
      </c>
      <c r="F9" s="13">
        <f>F7*F8</f>
        <v/>
      </c>
      <c r="G9" s="13">
        <f>G7*G8</f>
        <v/>
      </c>
      <c r="H9" s="13">
        <f>H7*H8</f>
        <v/>
      </c>
    </row>
    <row r="10">
      <c r="B10" t="inlineStr">
        <is>
          <t>D&amp;A</t>
        </is>
      </c>
      <c r="C10" s="9">
        <f>'Assumptions'!$C$28</f>
        <v/>
      </c>
      <c r="D10" s="13">
        <f>D7*'Assumptions'!$C$61</f>
        <v/>
      </c>
      <c r="E10" s="13">
        <f>E7*'Assumptions'!$C$61</f>
        <v/>
      </c>
      <c r="F10" s="13">
        <f>F7*'Assumptions'!$C$61</f>
        <v/>
      </c>
      <c r="G10" s="13">
        <f>G7*'Assumptions'!$C$61</f>
        <v/>
      </c>
      <c r="H10" s="13">
        <f>H7*'Assumptions'!$C$61</f>
        <v/>
      </c>
    </row>
    <row r="11">
      <c r="B11" t="inlineStr">
        <is>
          <t>EBIT</t>
        </is>
      </c>
      <c r="C11" s="13">
        <f>C9-C10</f>
        <v/>
      </c>
      <c r="D11" s="13">
        <f>D9-D10</f>
        <v/>
      </c>
      <c r="E11" s="13">
        <f>E9-E10</f>
        <v/>
      </c>
      <c r="F11" s="13">
        <f>F9-F10</f>
        <v/>
      </c>
      <c r="G11" s="13">
        <f>G9-G10</f>
        <v/>
      </c>
      <c r="H11" s="13">
        <f>H9-H10</f>
        <v/>
      </c>
    </row>
    <row r="12">
      <c r="B12" t="inlineStr">
        <is>
          <t>Tax on EBIT</t>
        </is>
      </c>
      <c r="C12" s="13">
        <f>C11*'Assumptions'!$C$35</f>
        <v/>
      </c>
      <c r="D12" s="13">
        <f>D11*'Assumptions'!$C$35</f>
        <v/>
      </c>
      <c r="E12" s="13">
        <f>E11*'Assumptions'!$C$35</f>
        <v/>
      </c>
      <c r="F12" s="13">
        <f>F11*'Assumptions'!$C$35</f>
        <v/>
      </c>
      <c r="G12" s="13">
        <f>G11*'Assumptions'!$C$35</f>
        <v/>
      </c>
      <c r="H12" s="13">
        <f>H11*'Assumptions'!$C$35</f>
        <v/>
      </c>
    </row>
    <row r="13">
      <c r="B13" t="inlineStr">
        <is>
          <t>NOPAT</t>
        </is>
      </c>
      <c r="C13" s="13">
        <f>C11-C12</f>
        <v/>
      </c>
      <c r="D13" s="13">
        <f>D11-D12</f>
        <v/>
      </c>
      <c r="E13" s="13">
        <f>E11-E12</f>
        <v/>
      </c>
      <c r="F13" s="13">
        <f>F11-F12</f>
        <v/>
      </c>
      <c r="G13" s="13">
        <f>G11-G12</f>
        <v/>
      </c>
      <c r="H13" s="13">
        <f>H11-H12</f>
        <v/>
      </c>
    </row>
    <row r="14">
      <c r="B14" t="inlineStr">
        <is>
          <t>Organic capex (D&amp;A + k x dRev)</t>
        </is>
      </c>
      <c r="C14" s="9">
        <f>'Assumptions'!$C$34</f>
        <v/>
      </c>
      <c r="D14" s="13">
        <f>D10+'Assumptions'!$C$62*(D7-C7)</f>
        <v/>
      </c>
      <c r="E14" s="13">
        <f>E10+'Assumptions'!$C$62*(E7-D7)</f>
        <v/>
      </c>
      <c r="F14" s="13">
        <f>F10+'Assumptions'!$C$62*(F7-E7)</f>
        <v/>
      </c>
      <c r="G14" s="13">
        <f>G10+'Assumptions'!$C$62*(G7-F7)</f>
        <v/>
      </c>
      <c r="H14" s="13">
        <f>H10+'Assumptions'!$C$62*(H7-G7)</f>
        <v/>
      </c>
    </row>
    <row r="15">
      <c r="B15" t="inlineStr">
        <is>
          <t>IPO-funded capex</t>
        </is>
      </c>
      <c r="C15" s="13" t="n">
        <v>0</v>
      </c>
      <c r="D15" s="13">
        <f>'Assumptions'!$C$57*'Assumptions'!$C$22</f>
        <v/>
      </c>
      <c r="E15" s="13">
        <f>'Assumptions'!$C$57*(1-'Assumptions'!$C$22)</f>
        <v/>
      </c>
      <c r="F15" s="13">
        <f>'Assumptions'!$C$57*0</f>
        <v/>
      </c>
      <c r="G15" s="13">
        <f>'Assumptions'!$C$57*0</f>
        <v/>
      </c>
      <c r="H15" s="13">
        <f>'Assumptions'!$C$57*0</f>
        <v/>
      </c>
    </row>
    <row r="16">
      <c r="B16" t="inlineStr">
        <is>
          <t>Net working capital</t>
        </is>
      </c>
      <c r="C16" s="9">
        <f>'Assumptions'!$C$32</f>
        <v/>
      </c>
      <c r="D16" s="13">
        <f>D7*Assumptions!$C$73</f>
        <v/>
      </c>
      <c r="E16" s="13">
        <f>E7*Assumptions!$C$73</f>
        <v/>
      </c>
      <c r="F16" s="13">
        <f>F7*Assumptions!$C$73</f>
        <v/>
      </c>
      <c r="G16" s="13">
        <f>G7*Assumptions!$C$73</f>
        <v/>
      </c>
      <c r="H16" s="13">
        <f>H7*Assumptions!$C$73</f>
        <v/>
      </c>
    </row>
    <row r="17">
      <c r="B17" t="inlineStr">
        <is>
          <t>Change in NWC</t>
        </is>
      </c>
      <c r="C17" s="9">
        <f>'Assumptions'!$C$32-'Assumptions'!$C$33</f>
        <v/>
      </c>
      <c r="D17" s="13">
        <f>D16-C16</f>
        <v/>
      </c>
      <c r="E17" s="13">
        <f>E16-D16</f>
        <v/>
      </c>
      <c r="F17" s="13">
        <f>F16-E16</f>
        <v/>
      </c>
      <c r="G17" s="13">
        <f>G16-F16</f>
        <v/>
      </c>
      <c r="H17" s="13">
        <f>H16-G16</f>
        <v/>
      </c>
    </row>
    <row r="18">
      <c r="B18" t="inlineStr">
        <is>
          <t>Free cash flow to firm</t>
        </is>
      </c>
      <c r="C18" s="13">
        <f>C13+C10-C14-C15-C17</f>
        <v/>
      </c>
      <c r="D18" s="13">
        <f>D13+D10-D14-D15-D17</f>
        <v/>
      </c>
      <c r="E18" s="13">
        <f>E13+E10-E14-E15-E17</f>
        <v/>
      </c>
      <c r="F18" s="13">
        <f>F13+F10-F14-F15-F17</f>
        <v/>
      </c>
      <c r="G18" s="13">
        <f>G13+G10-G14-G15-G17</f>
        <v/>
      </c>
      <c r="H18" s="13">
        <f>H13+H10-H14-H15-H17</f>
        <v/>
      </c>
    </row>
    <row r="19">
      <c r="B19" t="inlineStr">
        <is>
          <t>Discount factor</t>
        </is>
      </c>
      <c r="D19" s="26">
        <f>1/(1+'Assumptions'!$C$60)^1</f>
        <v/>
      </c>
      <c r="E19" s="26">
        <f>1/(1+'Assumptions'!$C$60)^2</f>
        <v/>
      </c>
      <c r="F19" s="26">
        <f>1/(1+'Assumptions'!$C$60)^3</f>
        <v/>
      </c>
      <c r="G19" s="26">
        <f>1/(1+'Assumptions'!$C$60)^4</f>
        <v/>
      </c>
      <c r="H19" s="26">
        <f>1/(1+'Assumptions'!$C$60)^5</f>
        <v/>
      </c>
    </row>
    <row r="20">
      <c r="B20" t="inlineStr">
        <is>
          <t>PV of FCFF</t>
        </is>
      </c>
      <c r="D20" s="13">
        <f>D18*D19</f>
        <v/>
      </c>
      <c r="E20" s="13">
        <f>E18*E19</f>
        <v/>
      </c>
      <c r="F20" s="13">
        <f>F18*F19</f>
        <v/>
      </c>
      <c r="G20" s="13">
        <f>G18*G19</f>
        <v/>
      </c>
      <c r="H20" s="13">
        <f>H18*H19</f>
        <v/>
      </c>
    </row>
    <row r="22">
      <c r="B22" t="inlineStr">
        <is>
          <t>Terminal growth (g)</t>
        </is>
      </c>
      <c r="C22" s="10">
        <f>'Assumptions'!$C$45</f>
        <v/>
      </c>
    </row>
    <row r="23">
      <c r="B23" t="inlineStr">
        <is>
          <t>Terminal ROIC</t>
        </is>
      </c>
      <c r="C23" s="10">
        <f>Assumptions!$C$74</f>
        <v/>
      </c>
    </row>
    <row r="24">
      <c r="B24" t="inlineStr">
        <is>
          <t>Terminal reinvestment rate (g / ROIC)</t>
        </is>
      </c>
      <c r="C24" s="10">
        <f>C22/C23</f>
        <v/>
      </c>
    </row>
    <row r="25">
      <c r="B25" t="inlineStr">
        <is>
          <t>NOPAT Y6</t>
        </is>
      </c>
      <c r="C25" s="13">
        <f>H13*(1+C22)</f>
        <v/>
      </c>
    </row>
    <row r="26">
      <c r="B26" t="inlineStr">
        <is>
          <t>FCFF Y6</t>
        </is>
      </c>
      <c r="C26" s="13">
        <f>C25*(1-C24)</f>
        <v/>
      </c>
    </row>
    <row r="27">
      <c r="B27" t="inlineStr">
        <is>
          <t>Terminal value at Y5</t>
        </is>
      </c>
      <c r="C27" s="13">
        <f>C26/('Assumptions'!$C$60-C22)</f>
        <v/>
      </c>
    </row>
    <row r="28">
      <c r="B28" t="inlineStr">
        <is>
          <t>PV of terminal value</t>
        </is>
      </c>
      <c r="C28" s="13">
        <f>C27*H19</f>
        <v/>
      </c>
    </row>
    <row r="30">
      <c r="B30" t="inlineStr">
        <is>
          <t>Sum of PV, explicit period</t>
        </is>
      </c>
      <c r="C30" s="13">
        <f>SUM(D20:H20)</f>
        <v/>
      </c>
    </row>
    <row r="31">
      <c r="B31" t="inlineStr">
        <is>
          <t>Enterprise value</t>
        </is>
      </c>
      <c r="C31" s="13">
        <f>C30+C28</f>
        <v/>
      </c>
    </row>
    <row r="32">
      <c r="B32" t="inlineStr">
        <is>
          <t>Terminal value share of EV</t>
        </is>
      </c>
      <c r="C32" s="10">
        <f>C28/C31</f>
        <v/>
      </c>
    </row>
    <row r="33">
      <c r="B33" t="inlineStr">
        <is>
          <t>Less: net debt</t>
        </is>
      </c>
      <c r="C33" s="13">
        <f>-'Assumptions'!$C$31</f>
        <v/>
      </c>
    </row>
    <row r="34">
      <c r="B34" t="inlineStr">
        <is>
          <t>Add: issue proceeds credited</t>
        </is>
      </c>
      <c r="C34" s="13">
        <f>'Assumptions'!$C$58</f>
        <v/>
      </c>
    </row>
    <row r="35">
      <c r="B35" t="inlineStr">
        <is>
          <t>Equity value</t>
        </is>
      </c>
      <c r="C35" s="13">
        <f>C31+C33+C34</f>
        <v/>
      </c>
    </row>
    <row r="36">
      <c r="B36" t="inlineStr">
        <is>
          <t>Post-issue diluted shares (crore)</t>
        </is>
      </c>
      <c r="C36" s="13">
        <f>'Assumptions'!$C$56</f>
        <v/>
      </c>
    </row>
    <row r="37">
      <c r="B37" t="inlineStr">
        <is>
          <t>DCF value per share (Rs)</t>
        </is>
      </c>
      <c r="C37" s="11">
        <f>C35/C36</f>
        <v/>
      </c>
    </row>
    <row r="39">
      <c r="B39" s="3" t="inlineStr">
        <is>
          <t>Degeneracy guards</t>
        </is>
      </c>
    </row>
    <row r="40">
      <c r="B40" t="inlineStr">
        <is>
          <t>Terminal value share</t>
        </is>
      </c>
      <c r="C40" s="12">
        <f>IF(C32&gt;1,"DEGENERATE: TV above 100% of EV - fix assumptions, do not report",IF(C32&gt;0.75,"AMBER: TV above 75% of EV - DCF is mostly a terminal guess","OK"))</f>
        <v/>
      </c>
    </row>
    <row r="41">
      <c r="B41" t="inlineStr">
        <is>
          <t>WACC minus g</t>
        </is>
      </c>
      <c r="C41" s="12">
        <f>IF('Assumptions'!$C$60-C22&lt;0.02,"RED: WACC - g below 2% - terminal swamps value","OK")</f>
        <v/>
      </c>
    </row>
    <row r="42">
      <c r="B42" t="inlineStr">
        <is>
          <t>Terminal ROIC vs WACC</t>
        </is>
      </c>
      <c r="C42" s="12">
        <f>IF(C23&lt;'Assumptions'!$C$60,"RED: terminal ROIC below WACC - growth destroys value","OK")</f>
        <v/>
      </c>
    </row>
    <row r="43">
      <c r="B43" t="inlineStr">
        <is>
          <t>Explicit-period FCF</t>
        </is>
      </c>
      <c r="C43" s="12">
        <f>IF(SUM(D18:H18)&lt;0,"AMBER: cumulative explicit FCF negative","OK")</f>
        <v/>
      </c>
    </row>
    <row r="45">
      <c r="B45" s="17" t="inlineStr">
        <is>
          <t>IPO capex adds assets; reflect any revenue it enables in the Neutral/Bull growth rates, with a cite.</t>
        </is>
      </c>
    </row>
  </sheetData>
  <conditionalFormatting sqref="C40:C43">
    <cfRule type="expression" priority="1" dxfId="0">
      <formula>LEFT(C40,3)="RED"</formula>
    </cfRule>
    <cfRule type="expression" priority="2" dxfId="0">
      <formula>LEFT(C40,4)="FAIL"</formula>
    </cfRule>
    <cfRule type="expression" priority="3" dxfId="0">
      <formula>LEFT(C40,12)="INCONSISTENT"</formula>
    </cfRule>
    <cfRule type="expression" priority="4" dxfId="0">
      <formula>LEFT(C40,10)="DEGENERATE"</formula>
    </cfRule>
    <cfRule type="expression" priority="5" dxfId="1">
      <formula>LEFT(C40,5)="AMBER"</formula>
    </cfRule>
    <cfRule type="expression" priority="6" dxfId="1">
      <formula>LEFT(C40,5)="WATCH"</formula>
    </cfRule>
    <cfRule type="expression" priority="7" dxfId="2">
      <formula>LEFT(C40,2)="OK"</formula>
    </cfRule>
    <cfRule type="expression" priority="8" dxfId="2">
      <formula>LEFT(C40,4)="PASS"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26"/>
  <sheetViews>
    <sheetView showGridLines="0" workbookViewId="0">
      <selection activeCell="A1" sqref="A1"/>
    </sheetView>
  </sheetViews>
  <sheetFormatPr baseColWidth="8" defaultRowHeight="15"/>
  <cols>
    <col width="2" customWidth="1" min="1" max="1"/>
    <col width="30" customWidth="1" min="2" max="2"/>
    <col width="9" customWidth="1" min="3" max="3"/>
    <col width="26" customWidth="1" min="4" max="4"/>
    <col width="13"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24" customHeight="1">
      <c r="A1" s="1" t="inlineStr">
        <is>
          <t>Peer set - ILLUSTRATIVE peers, replace with real listed comparables</t>
        </is>
      </c>
    </row>
    <row r="2" ht="20" customHeight="1">
      <c r="A2" s="2" t="inlineStr">
        <is>
          <t>Parshwanath Capital Ventures Fund | SEBI Registered CAT III AIF | IN/AIF3/25-26/2108 | Fund Manager: CA Deep Dalal | Sponsor: Jignesh Shah</t>
        </is>
      </c>
    </row>
    <row r="4">
      <c r="B4" s="7" t="inlineStr">
        <is>
          <t>Company</t>
        </is>
      </c>
      <c r="C4" s="7" t="inlineStr">
        <is>
          <t>Include (Y/N)</t>
        </is>
      </c>
      <c r="D4" s="7" t="inlineStr">
        <is>
          <t>Business-model match</t>
        </is>
      </c>
      <c r="E4" s="7" t="inlineStr">
        <is>
          <t>Basis</t>
        </is>
      </c>
      <c r="F4" s="7" t="inlineStr">
        <is>
          <t>CMP (Rs)</t>
        </is>
      </c>
      <c r="G4" s="7" t="inlineStr">
        <is>
          <t>Shares (cr)</t>
        </is>
      </c>
      <c r="H4" s="7" t="inlineStr">
        <is>
          <t>Net debt</t>
        </is>
      </c>
      <c r="I4" s="7" t="inlineStr">
        <is>
          <t>Revenue</t>
        </is>
      </c>
      <c r="J4" s="7" t="inlineStr">
        <is>
          <t>EBITDA</t>
        </is>
      </c>
      <c r="K4" s="7" t="inlineStr">
        <is>
          <t>PAT</t>
        </is>
      </c>
      <c r="L4" s="7" t="inlineStr">
        <is>
          <t>Net worth</t>
        </is>
      </c>
      <c r="M4" s="7" t="inlineStr">
        <is>
          <t>Rev growth</t>
        </is>
      </c>
      <c r="N4" s="7" t="inlineStr">
        <is>
          <t>Mcap</t>
        </is>
      </c>
      <c r="O4" s="7" t="inlineStr">
        <is>
          <t>EV</t>
        </is>
      </c>
      <c r="P4" s="7" t="inlineStr">
        <is>
          <t>P/E</t>
        </is>
      </c>
      <c r="Q4" s="7" t="inlineStr">
        <is>
          <t>EV/EBITDA</t>
        </is>
      </c>
      <c r="R4" s="7" t="inlineStr">
        <is>
          <t>P/B</t>
        </is>
      </c>
      <c r="S4" s="7" t="inlineStr">
        <is>
          <t>EBITDA margin</t>
        </is>
      </c>
      <c r="T4" s="7" t="inlineStr">
        <is>
          <t>ROE</t>
        </is>
      </c>
    </row>
    <row r="5">
      <c r="B5" s="20" t="inlineStr">
        <is>
          <t>Sky Gold &amp; Diamonds Ltd (per share)</t>
        </is>
      </c>
      <c r="C5" s="20" t="inlineStr">
        <is>
          <t>Y</t>
        </is>
      </c>
      <c r="D5" s="20" t="inlineStr">
        <is>
          <t>B2B gold jewellery maker - issuer's peer, p. 110</t>
        </is>
      </c>
      <c r="E5" s="20" t="inlineStr">
        <is>
          <t>Standalone</t>
        </is>
      </c>
      <c r="F5" s="15" t="n">
        <v>793.9</v>
      </c>
      <c r="G5" s="15" t="n">
        <v>1</v>
      </c>
      <c r="H5" s="15" t="n"/>
      <c r="I5" s="15" t="n"/>
      <c r="J5" s="15" t="n"/>
      <c r="K5" s="15" t="n">
        <v>18.06</v>
      </c>
      <c r="L5" s="15" t="n">
        <v>77.86</v>
      </c>
      <c r="M5" s="16" t="n"/>
      <c r="N5" s="13">
        <f>IF(F5="","",F5*G5)</f>
        <v/>
      </c>
      <c r="O5" s="13">
        <f>IF(N5="","",N5+H5)</f>
        <v/>
      </c>
      <c r="P5" s="27">
        <f>IF(AND(C5="Y",N(K5)&gt;0),N5/K5,"")</f>
        <v/>
      </c>
      <c r="Q5" s="27">
        <f>IF(AND(C5="Y",N(J5)&gt;0),O5/J5,"")</f>
        <v/>
      </c>
      <c r="R5" s="27">
        <f>IF(AND(C5="Y",N(L5)&gt;0),N5/L5,"")</f>
        <v/>
      </c>
      <c r="S5" s="10">
        <f>IF(N(I5)&gt;0,J5/I5,"")</f>
        <v/>
      </c>
      <c r="T5" s="10">
        <f>IF(N(L5)&gt;0,K5/L5,"")</f>
        <v/>
      </c>
    </row>
    <row r="6">
      <c r="B6" s="20" t="inlineStr">
        <is>
          <t>Shringar House of Mangalsutra Ltd (per share)</t>
        </is>
      </c>
      <c r="C6" s="20" t="inlineStr">
        <is>
          <t>Y</t>
        </is>
      </c>
      <c r="D6" s="20" t="inlineStr">
        <is>
          <t>B2B gold jewellery maker - issuer's peer, p. 110</t>
        </is>
      </c>
      <c r="E6" s="20" t="inlineStr">
        <is>
          <t>Standalone</t>
        </is>
      </c>
      <c r="F6" s="15" t="n">
        <v>212.95</v>
      </c>
      <c r="G6" s="15" t="n">
        <v>1</v>
      </c>
      <c r="H6" s="15" t="n"/>
      <c r="I6" s="15" t="n"/>
      <c r="J6" s="15" t="n"/>
      <c r="K6" s="15" t="n">
        <v>13.55</v>
      </c>
      <c r="L6" s="15" t="n">
        <v>70.29000000000001</v>
      </c>
      <c r="M6" s="16" t="n"/>
      <c r="N6" s="13">
        <f>IF(F6="","",F6*G6)</f>
        <v/>
      </c>
      <c r="O6" s="13">
        <f>IF(N6="","",N6+H6)</f>
        <v/>
      </c>
      <c r="P6" s="27">
        <f>IF(AND(C6="Y",N(K6)&gt;0),N6/K6,"")</f>
        <v/>
      </c>
      <c r="Q6" s="27">
        <f>IF(AND(C6="Y",N(J6)&gt;0),O6/J6,"")</f>
        <v/>
      </c>
      <c r="R6" s="27">
        <f>IF(AND(C6="Y",N(L6)&gt;0),N6/L6,"")</f>
        <v/>
      </c>
      <c r="S6" s="10">
        <f>IF(N(I6)&gt;0,J6/I6,"")</f>
        <v/>
      </c>
      <c r="T6" s="10">
        <f>IF(N(L6)&gt;0,K6/L6,"")</f>
        <v/>
      </c>
    </row>
    <row r="7">
      <c r="B7" s="20" t="inlineStr">
        <is>
          <t>Shanti Gold International Ltd (per share)</t>
        </is>
      </c>
      <c r="C7" s="20" t="inlineStr">
        <is>
          <t>Y</t>
        </is>
      </c>
      <c r="D7" s="20" t="inlineStr">
        <is>
          <t>B2B gold jewellery maker - issuer's peer, p. 110</t>
        </is>
      </c>
      <c r="E7" s="20" t="inlineStr">
        <is>
          <t>Standalone</t>
        </is>
      </c>
      <c r="F7" s="15" t="n">
        <v>325.6</v>
      </c>
      <c r="G7" s="15" t="n">
        <v>1</v>
      </c>
      <c r="H7" s="15" t="n"/>
      <c r="I7" s="15" t="n"/>
      <c r="J7" s="15" t="n"/>
      <c r="K7" s="15" t="n">
        <v>21.22</v>
      </c>
      <c r="L7" s="15" t="n">
        <v>83</v>
      </c>
      <c r="M7" s="16" t="n"/>
      <c r="N7" s="13">
        <f>IF(F7="","",F7*G7)</f>
        <v/>
      </c>
      <c r="O7" s="13">
        <f>IF(N7="","",N7+H7)</f>
        <v/>
      </c>
      <c r="P7" s="27">
        <f>IF(AND(C7="Y",N(K7)&gt;0),N7/K7,"")</f>
        <v/>
      </c>
      <c r="Q7" s="27">
        <f>IF(AND(C7="Y",N(J7)&gt;0),O7/J7,"")</f>
        <v/>
      </c>
      <c r="R7" s="27">
        <f>IF(AND(C7="Y",N(L7)&gt;0),N7/L7,"")</f>
        <v/>
      </c>
      <c r="S7" s="10">
        <f>IF(N(I7)&gt;0,J7/I7,"")</f>
        <v/>
      </c>
      <c r="T7" s="10">
        <f>IF(N(L7)&gt;0,K7/L7,"")</f>
        <v/>
      </c>
    </row>
    <row r="8">
      <c r="B8" s="20" t="inlineStr"/>
      <c r="C8" s="20" t="inlineStr"/>
      <c r="D8" s="20" t="inlineStr"/>
      <c r="E8" s="20" t="inlineStr"/>
      <c r="F8" s="15" t="n"/>
      <c r="G8" s="15" t="n"/>
      <c r="H8" s="15" t="n"/>
      <c r="I8" s="15" t="n"/>
      <c r="J8" s="15" t="n"/>
      <c r="K8" s="15" t="n"/>
      <c r="L8" s="15" t="n"/>
      <c r="M8" s="16" t="n"/>
      <c r="N8" s="13">
        <f>IF(F8="","",F8*G8)</f>
        <v/>
      </c>
      <c r="O8" s="13">
        <f>IF(N8="","",N8+H8)</f>
        <v/>
      </c>
      <c r="P8" s="27">
        <f>IF(AND(C8="Y",N(K8)&gt;0),N8/K8,"")</f>
        <v/>
      </c>
      <c r="Q8" s="27">
        <f>IF(AND(C8="Y",N(J8)&gt;0),O8/J8,"")</f>
        <v/>
      </c>
      <c r="R8" s="27">
        <f>IF(AND(C8="Y",N(L8)&gt;0),N8/L8,"")</f>
        <v/>
      </c>
      <c r="S8" s="10">
        <f>IF(N(I8)&gt;0,J8/I8,"")</f>
        <v/>
      </c>
      <c r="T8" s="10">
        <f>IF(N(L8)&gt;0,K8/L8,"")</f>
        <v/>
      </c>
    </row>
    <row r="9">
      <c r="B9" s="20" t="inlineStr"/>
      <c r="C9" s="20" t="inlineStr"/>
      <c r="D9" s="20" t="inlineStr"/>
      <c r="E9" s="20" t="inlineStr"/>
      <c r="F9" s="15" t="n"/>
      <c r="G9" s="15" t="n"/>
      <c r="H9" s="15" t="n"/>
      <c r="I9" s="15" t="n"/>
      <c r="J9" s="15" t="n"/>
      <c r="K9" s="15" t="n"/>
      <c r="L9" s="15" t="n"/>
      <c r="M9" s="16" t="n"/>
      <c r="N9" s="13">
        <f>IF(F9="","",F9*G9)</f>
        <v/>
      </c>
      <c r="O9" s="13">
        <f>IF(N9="","",N9+H9)</f>
        <v/>
      </c>
      <c r="P9" s="27">
        <f>IF(AND(C9="Y",N(K9)&gt;0),N9/K9,"")</f>
        <v/>
      </c>
      <c r="Q9" s="27">
        <f>IF(AND(C9="Y",N(J9)&gt;0),O9/J9,"")</f>
        <v/>
      </c>
      <c r="R9" s="27">
        <f>IF(AND(C9="Y",N(L9)&gt;0),N9/L9,"")</f>
        <v/>
      </c>
      <c r="S9" s="10">
        <f>IF(N(I9)&gt;0,J9/I9,"")</f>
        <v/>
      </c>
      <c r="T9" s="10">
        <f>IF(N(L9)&gt;0,K9/L9,"")</f>
        <v/>
      </c>
    </row>
    <row r="10">
      <c r="B10" s="20" t="inlineStr"/>
      <c r="C10" s="20" t="inlineStr"/>
      <c r="D10" s="20" t="inlineStr"/>
      <c r="E10" s="20" t="inlineStr"/>
      <c r="F10" s="15" t="n"/>
      <c r="G10" s="15" t="n"/>
      <c r="H10" s="15" t="n"/>
      <c r="I10" s="15" t="n"/>
      <c r="J10" s="15" t="n"/>
      <c r="K10" s="15" t="n"/>
      <c r="L10" s="15" t="n"/>
      <c r="M10" s="16" t="n"/>
      <c r="N10" s="13">
        <f>IF(F10="","",F10*G10)</f>
        <v/>
      </c>
      <c r="O10" s="13">
        <f>IF(N10="","",N10+H10)</f>
        <v/>
      </c>
      <c r="P10" s="27">
        <f>IF(AND(C10="Y",N(K10)&gt;0),N10/K10,"")</f>
        <v/>
      </c>
      <c r="Q10" s="27">
        <f>IF(AND(C10="Y",N(J10)&gt;0),O10/J10,"")</f>
        <v/>
      </c>
      <c r="R10" s="27">
        <f>IF(AND(C10="Y",N(L10)&gt;0),N10/L10,"")</f>
        <v/>
      </c>
      <c r="S10" s="10">
        <f>IF(N(I10)&gt;0,J10/I10,"")</f>
        <v/>
      </c>
      <c r="T10" s="10">
        <f>IF(N(L10)&gt;0,K10/L10,"")</f>
        <v/>
      </c>
    </row>
    <row r="11">
      <c r="B11" s="20" t="inlineStr"/>
      <c r="C11" s="20" t="inlineStr"/>
      <c r="D11" s="20" t="inlineStr"/>
      <c r="E11" s="20" t="inlineStr"/>
      <c r="F11" s="15" t="n"/>
      <c r="G11" s="15" t="n"/>
      <c r="H11" s="15" t="n"/>
      <c r="I11" s="15" t="n"/>
      <c r="J11" s="15" t="n"/>
      <c r="K11" s="15" t="n"/>
      <c r="L11" s="15" t="n"/>
      <c r="M11" s="16" t="n"/>
      <c r="N11" s="13">
        <f>IF(F11="","",F11*G11)</f>
        <v/>
      </c>
      <c r="O11" s="13">
        <f>IF(N11="","",N11+H11)</f>
        <v/>
      </c>
      <c r="P11" s="27">
        <f>IF(AND(C11="Y",N(K11)&gt;0),N11/K11,"")</f>
        <v/>
      </c>
      <c r="Q11" s="27">
        <f>IF(AND(C11="Y",N(J11)&gt;0),O11/J11,"")</f>
        <v/>
      </c>
      <c r="R11" s="27">
        <f>IF(AND(C11="Y",N(L11)&gt;0),N11/L11,"")</f>
        <v/>
      </c>
      <c r="S11" s="10">
        <f>IF(N(I11)&gt;0,J11/I11,"")</f>
        <v/>
      </c>
      <c r="T11" s="10">
        <f>IF(N(L11)&gt;0,K11/L11,"")</f>
        <v/>
      </c>
    </row>
    <row r="12">
      <c r="B12" s="20" t="inlineStr"/>
      <c r="C12" s="20" t="inlineStr"/>
      <c r="D12" s="20" t="inlineStr"/>
      <c r="E12" s="20" t="inlineStr"/>
      <c r="F12" s="15" t="n"/>
      <c r="G12" s="15" t="n"/>
      <c r="H12" s="15" t="n"/>
      <c r="I12" s="15" t="n"/>
      <c r="J12" s="15" t="n"/>
      <c r="K12" s="15" t="n"/>
      <c r="L12" s="15" t="n"/>
      <c r="M12" s="16" t="n"/>
      <c r="N12" s="13">
        <f>IF(F12="","",F12*G12)</f>
        <v/>
      </c>
      <c r="O12" s="13">
        <f>IF(N12="","",N12+H12)</f>
        <v/>
      </c>
      <c r="P12" s="27">
        <f>IF(AND(C12="Y",N(K12)&gt;0),N12/K12,"")</f>
        <v/>
      </c>
      <c r="Q12" s="27">
        <f>IF(AND(C12="Y",N(J12)&gt;0),O12/J12,"")</f>
        <v/>
      </c>
      <c r="R12" s="27">
        <f>IF(AND(C12="Y",N(L12)&gt;0),N12/L12,"")</f>
        <v/>
      </c>
      <c r="S12" s="10">
        <f>IF(N(I12)&gt;0,J12/I12,"")</f>
        <v/>
      </c>
      <c r="T12" s="10">
        <f>IF(N(L12)&gt;0,K12/L12,"")</f>
        <v/>
      </c>
    </row>
    <row r="14">
      <c r="B14" s="8" t="inlineStr">
        <is>
          <t>Median (included)</t>
        </is>
      </c>
      <c r="P14" s="28">
        <f>IF(COUNT(P5:P12)=0,"",MEDIAN(P5:P12))</f>
        <v/>
      </c>
      <c r="Q14" s="28">
        <f>IF(COUNT(Q5:Q12)=0,"",MEDIAN(Q5:Q12))</f>
        <v/>
      </c>
      <c r="R14" s="28">
        <f>IF(COUNT(R5:R12)=0,"",MEDIAN(R5:R12))</f>
        <v/>
      </c>
      <c r="S14" s="23">
        <f>IF(COUNT(S5:S12)=0,"",MEDIAN(S5:S12))</f>
        <v/>
      </c>
      <c r="T14" s="23">
        <f>IF(COUNT(T5:T12)=0,"",MEDIAN(T5:T12))</f>
        <v/>
      </c>
    </row>
    <row r="15">
      <c r="B15" s="8" t="inlineStr">
        <is>
          <t>Mean (included)</t>
        </is>
      </c>
      <c r="P15" s="27">
        <f>IF(COUNT(P5:P12)=0,"",AVERAGE(P5:P12))</f>
        <v/>
      </c>
      <c r="Q15" s="27">
        <f>IF(COUNT(Q5:Q12)=0,"",AVERAGE(Q5:Q12))</f>
        <v/>
      </c>
      <c r="R15" s="27">
        <f>IF(COUNT(R5:R12)=0,"",AVERAGE(R5:R12))</f>
        <v/>
      </c>
      <c r="S15" s="10">
        <f>IF(COUNT(S5:S12)=0,"",AVERAGE(S5:S12))</f>
        <v/>
      </c>
      <c r="T15" s="10">
        <f>IF(COUNT(T5:T12)=0,"",AVERAGE(T5:T12))</f>
        <v/>
      </c>
    </row>
    <row r="16">
      <c r="B16" s="8" t="inlineStr">
        <is>
          <t>Min</t>
        </is>
      </c>
      <c r="P16" s="27">
        <f>IF(COUNT(P5:P12)=0,"",MIN(P5:P12))</f>
        <v/>
      </c>
      <c r="Q16" s="27">
        <f>IF(COUNT(Q5:Q12)=0,"",MIN(Q5:Q12))</f>
        <v/>
      </c>
      <c r="R16" s="27">
        <f>IF(COUNT(R5:R12)=0,"",MIN(R5:R12))</f>
        <v/>
      </c>
      <c r="S16" s="10">
        <f>IF(COUNT(S5:S12)=0,"",MIN(S5:S12))</f>
        <v/>
      </c>
      <c r="T16" s="10">
        <f>IF(COUNT(T5:T12)=0,"",MIN(T5:T12))</f>
        <v/>
      </c>
    </row>
    <row r="17">
      <c r="B17" s="8" t="inlineStr">
        <is>
          <t>Max</t>
        </is>
      </c>
      <c r="P17" s="27">
        <f>IF(COUNT(P5:P12)=0,"",MAX(P5:P12))</f>
        <v/>
      </c>
      <c r="Q17" s="27">
        <f>IF(COUNT(Q5:Q12)=0,"",MAX(Q5:Q12))</f>
        <v/>
      </c>
      <c r="R17" s="27">
        <f>IF(COUNT(R5:R12)=0,"",MAX(R5:R12))</f>
        <v/>
      </c>
      <c r="S17" s="10">
        <f>IF(COUNT(S5:S12)=0,"",MAX(S5:S12))</f>
        <v/>
      </c>
      <c r="T17" s="10">
        <f>IF(COUNT(T5:T12)=0,"",MAX(T5:T12))</f>
        <v/>
      </c>
    </row>
    <row r="19">
      <c r="B19" s="7" t="inlineStr">
        <is>
          <t>Company</t>
        </is>
      </c>
      <c r="C19" s="7" t="inlineStr">
        <is>
          <t>Include (Y/N)</t>
        </is>
      </c>
      <c r="D19" s="7" t="inlineStr">
        <is>
          <t>Business-model match</t>
        </is>
      </c>
      <c r="E19" s="7" t="inlineStr">
        <is>
          <t>Basis</t>
        </is>
      </c>
      <c r="F19" s="7" t="inlineStr">
        <is>
          <t>CMP (Rs)</t>
        </is>
      </c>
      <c r="G19" s="7" t="inlineStr">
        <is>
          <t>Shares (cr)</t>
        </is>
      </c>
      <c r="H19" s="7" t="inlineStr">
        <is>
          <t>Net debt</t>
        </is>
      </c>
      <c r="I19" s="7" t="inlineStr">
        <is>
          <t>Revenue</t>
        </is>
      </c>
      <c r="J19" s="7" t="inlineStr">
        <is>
          <t>EBITDA</t>
        </is>
      </c>
      <c r="K19" s="7" t="inlineStr">
        <is>
          <t>PAT</t>
        </is>
      </c>
      <c r="L19" s="7" t="inlineStr">
        <is>
          <t>Net worth</t>
        </is>
      </c>
      <c r="M19" s="7" t="inlineStr">
        <is>
          <t>Rev growth</t>
        </is>
      </c>
      <c r="N19" s="7" t="inlineStr">
        <is>
          <t>Mcap</t>
        </is>
      </c>
      <c r="O19" s="7" t="inlineStr">
        <is>
          <t>EV</t>
        </is>
      </c>
      <c r="P19" s="7" t="inlineStr">
        <is>
          <t>P/E</t>
        </is>
      </c>
      <c r="Q19" s="7" t="inlineStr">
        <is>
          <t>EV/EBITDA</t>
        </is>
      </c>
      <c r="R19" s="7" t="inlineStr">
        <is>
          <t>P/B</t>
        </is>
      </c>
      <c r="S19" s="7" t="inlineStr">
        <is>
          <t>EBITDA margin</t>
        </is>
      </c>
      <c r="T19" s="7" t="inlineStr">
        <is>
          <t>ROE</t>
        </is>
      </c>
    </row>
    <row r="20">
      <c r="B20" s="8" t="inlineStr">
        <is>
          <t>Issuer at floor (post-issue)</t>
        </is>
      </c>
      <c r="C20" s="12" t="inlineStr">
        <is>
          <t>Y</t>
        </is>
      </c>
      <c r="E20" s="6">
        <f>'Assumptions'!$C$9</f>
        <v/>
      </c>
      <c r="F20" s="9">
        <f>'Assumptions'!$C$15</f>
        <v/>
      </c>
      <c r="G20" s="13">
        <f>'Assumptions'!$C$10+'Assumptions'!$C$11+IF('Assumptions'!$C$13&gt;0,'Assumptions'!$C$13,'Assumptions'!$C$12/F20)</f>
        <v/>
      </c>
      <c r="H20" s="13">
        <f>'Assumptions'!$C$31-'Assumptions'!$C$55</f>
        <v/>
      </c>
      <c r="I20" s="9">
        <f>'Assumptions'!$C$25</f>
        <v/>
      </c>
      <c r="J20" s="9">
        <f>'Assumptions'!$C$27</f>
        <v/>
      </c>
      <c r="K20" s="9">
        <f>'Assumptions'!$C$29</f>
        <v/>
      </c>
      <c r="L20" s="13">
        <f>'Assumptions'!$C$30+'Assumptions'!$C$55</f>
        <v/>
      </c>
      <c r="M20" s="10">
        <f>'Assumptions'!$C$25/'Assumptions'!$C$26-1</f>
        <v/>
      </c>
      <c r="N20" s="13">
        <f>F20*G20</f>
        <v/>
      </c>
      <c r="O20" s="13">
        <f>N20+H20</f>
        <v/>
      </c>
      <c r="P20" s="27">
        <f>IF(K20&gt;0,N20/K20,"n.m.")</f>
        <v/>
      </c>
      <c r="Q20" s="27">
        <f>IF(J20&gt;0,O20/J20,"n.m.")</f>
        <v/>
      </c>
      <c r="R20" s="27">
        <f>IF(L20&gt;0,N20/L20,"n.m.")</f>
        <v/>
      </c>
      <c r="S20" s="10">
        <f>J20/I20</f>
        <v/>
      </c>
      <c r="T20" s="10">
        <f>K20/L20</f>
        <v/>
      </c>
    </row>
    <row r="21">
      <c r="B21" s="8" t="inlineStr">
        <is>
          <t>Issuer at cap (post-issue)</t>
        </is>
      </c>
      <c r="C21" s="12" t="inlineStr">
        <is>
          <t>Y</t>
        </is>
      </c>
      <c r="E21" s="6">
        <f>'Assumptions'!$C$9</f>
        <v/>
      </c>
      <c r="F21" s="9">
        <f>'Assumptions'!$C$16</f>
        <v/>
      </c>
      <c r="G21" s="13">
        <f>'Assumptions'!$C$10+'Assumptions'!$C$11+IF('Assumptions'!$C$13&gt;0,'Assumptions'!$C$13,'Assumptions'!$C$12/F21)</f>
        <v/>
      </c>
      <c r="H21" s="13">
        <f>'Assumptions'!$C$31-'Assumptions'!$C$55</f>
        <v/>
      </c>
      <c r="I21" s="9">
        <f>'Assumptions'!$C$25</f>
        <v/>
      </c>
      <c r="J21" s="9">
        <f>'Assumptions'!$C$27</f>
        <v/>
      </c>
      <c r="K21" s="9">
        <f>'Assumptions'!$C$29</f>
        <v/>
      </c>
      <c r="L21" s="13">
        <f>'Assumptions'!$C$30+'Assumptions'!$C$55</f>
        <v/>
      </c>
      <c r="M21" s="10">
        <f>'Assumptions'!$C$25/'Assumptions'!$C$26-1</f>
        <v/>
      </c>
      <c r="N21" s="13">
        <f>F21*G21</f>
        <v/>
      </c>
      <c r="O21" s="13">
        <f>N21+H21</f>
        <v/>
      </c>
      <c r="P21" s="27">
        <f>IF(K21&gt;0,N21/K21,"n.m.")</f>
        <v/>
      </c>
      <c r="Q21" s="27">
        <f>IF(J21&gt;0,O21/J21,"n.m.")</f>
        <v/>
      </c>
      <c r="R21" s="27">
        <f>IF(L21&gt;0,N21/L21,"n.m.")</f>
        <v/>
      </c>
      <c r="S21" s="10">
        <f>J21/I21</f>
        <v/>
      </c>
      <c r="T21" s="10">
        <f>K21/L21</f>
        <v/>
      </c>
    </row>
    <row r="23">
      <c r="B23" s="8" t="inlineStr">
        <is>
          <t>Premium / (discount) to peer median at cap</t>
        </is>
      </c>
      <c r="P23" s="10">
        <f>IFERROR(P21/P14-1,"")</f>
        <v/>
      </c>
      <c r="Q23" s="10">
        <f>IFERROR(Q21/Q14-1,"")</f>
        <v/>
      </c>
      <c r="R23" s="10">
        <f>IFERROR(R21/R14-1,"")</f>
        <v/>
      </c>
    </row>
    <row r="25">
      <c r="B25" s="17" t="inlineStr">
        <is>
          <t>Peer basis must match the issuer: post-issue diluted, consolidated vs standalone consistent. Where the RHP gives no peers, build your own and disclose the set as ours.</t>
        </is>
      </c>
    </row>
    <row r="26">
      <c r="B26" s="17" t="inlineStr">
        <is>
          <t>Also anchor to recent comparable IPO pricings on the same platform where available.</t>
        </is>
      </c>
    </row>
  </sheetData>
  <dataValidations count="8">
    <dataValidation sqref="C5" showDropDown="0" showInputMessage="0" showErrorMessage="0" allowBlank="1" type="list">
      <formula1>"Y,N"</formula1>
    </dataValidation>
    <dataValidation sqref="C6" showDropDown="0" showInputMessage="0" showErrorMessage="0" allowBlank="1" type="list">
      <formula1>"Y,N"</formula1>
    </dataValidation>
    <dataValidation sqref="C7" showDropDown="0" showInputMessage="0" showErrorMessage="0" allowBlank="1" type="list">
      <formula1>"Y,N"</formula1>
    </dataValidation>
    <dataValidation sqref="C8" showDropDown="0" showInputMessage="0" showErrorMessage="0" allowBlank="1" type="list">
      <formula1>"Y,N"</formula1>
    </dataValidation>
    <dataValidation sqref="C9" showDropDown="0" showInputMessage="0" showErrorMessage="0" allowBlank="1" type="list">
      <formula1>"Y,N"</formula1>
    </dataValidation>
    <dataValidation sqref="C10" showDropDown="0" showInputMessage="0" showErrorMessage="0" allowBlank="1" type="list">
      <formula1>"Y,N"</formula1>
    </dataValidation>
    <dataValidation sqref="C11" showDropDown="0" showInputMessage="0" showErrorMessage="0" allowBlank="1" type="list">
      <formula1>"Y,N"</formula1>
    </dataValidation>
    <dataValidation sqref="C12" showDropDown="0" showInputMessage="0" showErrorMessage="0" allowBlank="1" type="list">
      <formula1>"Y,N"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 customWidth="1" min="1" max="1"/>
    <col width="46" customWidth="1" min="2" max="2"/>
    <col width="13" customWidth="1" min="3" max="3"/>
    <col width="14" customWidth="1" min="4" max="4"/>
    <col width="18" customWidth="1" min="5" max="5"/>
    <col width="16" customWidth="1" min="6" max="6"/>
    <col width="10" customWidth="1" min="7" max="7"/>
    <col width="12" customWidth="1" min="8" max="8"/>
    <col width="14" customWidth="1" min="9" max="9"/>
  </cols>
  <sheetData>
    <row r="1" ht="24" customHeight="1">
      <c r="A1" s="1" t="inlineStr">
        <is>
          <t>Relative valuation - peer median multiples applied to the issuer</t>
        </is>
      </c>
    </row>
    <row r="2" ht="20" customHeight="1">
      <c r="A2" s="2" t="inlineStr">
        <is>
          <t>Parshwanath Capital Ventures Fund | SEBI Registered CAT III AIF | IN/AIF3/25-26/2108 | Fund Manager: CA Deep Dalal | Sponsor: Jignesh Shah</t>
        </is>
      </c>
    </row>
    <row r="4">
      <c r="B4" s="7" t="inlineStr">
        <is>
          <t>Method</t>
        </is>
      </c>
      <c r="C4" s="7" t="inlineStr">
        <is>
          <t>Peer median</t>
        </is>
      </c>
      <c r="D4" s="7" t="inlineStr">
        <is>
          <t>Issuer metric</t>
        </is>
      </c>
      <c r="E4" s="7" t="inlineStr">
        <is>
          <t>Implied equity (Rs cr)</t>
        </is>
      </c>
      <c r="F4" s="7" t="inlineStr">
        <is>
          <t>Value / share (Rs)</t>
        </is>
      </c>
      <c r="G4" s="7" t="inlineStr">
        <is>
          <t>Weight</t>
        </is>
      </c>
      <c r="H4" s="7" t="inlineStr">
        <is>
          <t>Usable weight</t>
        </is>
      </c>
      <c r="I4" s="7" t="inlineStr">
        <is>
          <t>Weighted value</t>
        </is>
      </c>
    </row>
    <row r="5">
      <c r="B5" t="inlineStr">
        <is>
          <t>P/E x PAT</t>
        </is>
      </c>
      <c r="C5" s="29">
        <f>Peers!P14</f>
        <v/>
      </c>
      <c r="D5" s="9">
        <f>'Assumptions'!$C$29</f>
        <v/>
      </c>
      <c r="E5" s="13">
        <f>IF(ISNUMBER(C5),C5*D5,"")</f>
        <v/>
      </c>
      <c r="F5" s="13">
        <f>IF(ISNUMBER(E5),E5/'Assumptions'!$C$56,"")</f>
        <v/>
      </c>
      <c r="G5" s="25">
        <f>'Assumptions'!$C$49</f>
        <v/>
      </c>
      <c r="H5" s="10">
        <f>IF(ISNUMBER(F5),G5,0)</f>
        <v/>
      </c>
      <c r="I5" s="13">
        <f>IF(ISNUMBER(F5),F5*G5,0)</f>
        <v/>
      </c>
    </row>
    <row r="6">
      <c r="B6" t="inlineStr">
        <is>
          <t>EV/EBITDA x EBITDA - net debt + net proceeds</t>
        </is>
      </c>
      <c r="C6" s="29">
        <f>Peers!Q14</f>
        <v/>
      </c>
      <c r="D6" s="9">
        <f>'Assumptions'!$C$27</f>
        <v/>
      </c>
      <c r="E6" s="13">
        <f>IF(ISNUMBER(C6),C6*D6-'Assumptions'!$C$31+'Assumptions'!$C$55,"")</f>
        <v/>
      </c>
      <c r="F6" s="13">
        <f>IF(ISNUMBER(E6),E6/'Assumptions'!$C$56,"")</f>
        <v/>
      </c>
      <c r="G6" s="25">
        <f>'Assumptions'!$C$50</f>
        <v/>
      </c>
      <c r="H6" s="10">
        <f>IF(ISNUMBER(F6),G6,0)</f>
        <v/>
      </c>
      <c r="I6" s="13">
        <f>IF(ISNUMBER(F6),F6*G6,0)</f>
        <v/>
      </c>
    </row>
    <row r="7">
      <c r="B7" t="inlineStr">
        <is>
          <t>P/B x post-issue net worth</t>
        </is>
      </c>
      <c r="C7" s="29">
        <f>Peers!R14</f>
        <v/>
      </c>
      <c r="D7" s="9">
        <f>'Assumptions'!$C$30+'Assumptions'!$C$55</f>
        <v/>
      </c>
      <c r="E7" s="13">
        <f>IF(ISNUMBER(C7),C7*D7,"")</f>
        <v/>
      </c>
      <c r="F7" s="13">
        <f>IF(ISNUMBER(E7),E7/'Assumptions'!$C$56,"")</f>
        <v/>
      </c>
      <c r="G7" s="25">
        <f>'Assumptions'!$C$51</f>
        <v/>
      </c>
      <c r="H7" s="10">
        <f>IF(ISNUMBER(F7),G7,0)</f>
        <v/>
      </c>
      <c r="I7" s="13">
        <f>IF(ISNUMBER(F7),F7*G7,0)</f>
        <v/>
      </c>
    </row>
    <row r="9">
      <c r="B9" s="3" t="inlineStr">
        <is>
          <t>Weighted value per share (pre-discount)</t>
        </is>
      </c>
      <c r="F9" s="13">
        <f>IF(SUM(H5:H7)=0,"n.a.",SUM(I5:I7)/SUM(H5:H7))</f>
        <v/>
      </c>
    </row>
    <row r="10">
      <c r="B10" s="3" t="inlineStr">
        <is>
          <t>Discount to peer median</t>
        </is>
      </c>
      <c r="F10" s="10">
        <f>'Assumptions'!$C$52</f>
        <v/>
      </c>
    </row>
    <row r="11">
      <c r="B11" s="3" t="inlineStr">
        <is>
          <t>Relative value per share (Rs)</t>
        </is>
      </c>
      <c r="F11" s="11">
        <f>IF(ISNUMBER(F9),F9*(1-F10),"n.a.")</f>
        <v/>
      </c>
    </row>
    <row r="13">
      <c r="B13" s="17" t="inlineStr">
        <is>
          <t>Relative prices reported earnings; DCF prices cash. A large gap between them is the finding.</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52" customWidth="1" min="2" max="2"/>
    <col width="22" customWidth="1" min="3" max="3"/>
    <col width="22" customWidth="1" min="4" max="4"/>
    <col width="16" customWidth="1" min="5" max="5"/>
    <col width="22" customWidth="1" min="6" max="6"/>
  </cols>
  <sheetData>
    <row r="1" ht="24" customHeight="1">
      <c r="A1" s="1" t="inlineStr">
        <is>
          <t>Reverse DCF - what the price asks for, one lever at a time</t>
        </is>
      </c>
    </row>
    <row r="2" ht="20" customHeight="1">
      <c r="A2" s="2" t="inlineStr">
        <is>
          <t>Parshwanath Capital Ventures Fund | SEBI Registered CAT III AIF | IN/AIF3/25-26/2108 | Fund Manager: CA Deep Dalal | Sponsor: Jignesh Shah</t>
        </is>
      </c>
    </row>
    <row r="4">
      <c r="B4" s="7" t="inlineStr">
        <is>
          <t>Item</t>
        </is>
      </c>
      <c r="C4" s="7" t="inlineStr">
        <is>
          <t>At floor</t>
        </is>
      </c>
      <c r="D4" s="7" t="inlineStr">
        <is>
          <t>At cap</t>
        </is>
      </c>
      <c r="E4" s="7" t="inlineStr">
        <is>
          <t>Actual / model</t>
        </is>
      </c>
    </row>
    <row r="5">
      <c r="B5" t="inlineStr">
        <is>
          <t>Price (Rs)</t>
        </is>
      </c>
      <c r="C5" s="13">
        <f>'Assumptions'!$C$15</f>
        <v/>
      </c>
      <c r="D5" s="13">
        <f>'Assumptions'!$C$16</f>
        <v/>
      </c>
    </row>
    <row r="6">
      <c r="B6" t="inlineStr">
        <is>
          <t>Market cap (Rs cr)</t>
        </is>
      </c>
      <c r="C6" s="13">
        <f>'Assumptions'!$C$15*('Assumptions'!$C$10+'Assumptions'!$C$11+IF('Assumptions'!$C$13&gt;0,'Assumptions'!$C$13,'Assumptions'!$C$12/'Assumptions'!$C$15))</f>
        <v/>
      </c>
      <c r="D6" s="13">
        <f>'Assumptions'!$C$16*('Assumptions'!$C$10+'Assumptions'!$C$11+IF('Assumptions'!$C$13&gt;0,'Assumptions'!$C$13,'Assumptions'!$C$12/'Assumptions'!$C$16))</f>
        <v/>
      </c>
    </row>
    <row r="7">
      <c r="B7" t="inlineStr">
        <is>
          <t>Implied EV = mcap + net debt - net proceeds</t>
        </is>
      </c>
      <c r="C7" s="13">
        <f>C6+'Assumptions'!$C$31-'Assumptions'!$C$55</f>
        <v/>
      </c>
      <c r="D7" s="13">
        <f>D6+'Assumptions'!$C$31-'Assumptions'!$C$55</f>
        <v/>
      </c>
    </row>
    <row r="8">
      <c r="B8" t="inlineStr">
        <is>
          <t>Current FCFF (Y0 actual)</t>
        </is>
      </c>
      <c r="C8" s="13">
        <f>DCF!$C$18</f>
        <v/>
      </c>
      <c r="D8" s="13">
        <f>DCF!$C$18</f>
        <v/>
      </c>
    </row>
    <row r="9">
      <c r="B9" t="inlineStr">
        <is>
          <t>EV / current FCFF</t>
        </is>
      </c>
      <c r="C9" s="27">
        <f>IF(C8&lt;=0,"No multiple: FCF negative - price rests on a turn not yet begun",C7/C8)</f>
        <v/>
      </c>
      <c r="D9" s="27">
        <f>IF(D8&lt;=0,"No multiple: FCF negative - price rests on a turn not yet begun",D7/D8)</f>
        <v/>
      </c>
    </row>
    <row r="11">
      <c r="B11" t="inlineStr">
        <is>
          <t>Lever 1 - implied perpetual growth on current FCFF</t>
        </is>
      </c>
      <c r="C11" s="10">
        <f>IF(C8&lt;=0,"n.m. (FCF negative)",(C7*'Assumptions'!$C$60-C8)/(C7+C8))</f>
        <v/>
      </c>
      <c r="D11" s="10">
        <f>IF(D8&lt;=0,"n.m. (FCF negative)",(D7*'Assumptions'!$C$60-D8)/(D7+D8))</f>
        <v/>
      </c>
      <c r="E11" s="25">
        <f>'Assumptions'!$C$45</f>
        <v/>
      </c>
      <c r="F11" s="17" t="inlineStr">
        <is>
          <t>terminal g used</t>
        </is>
      </c>
    </row>
    <row r="12">
      <c r="B12" t="inlineStr">
        <is>
          <t>Lever 2 - implied WACC at terminal g</t>
        </is>
      </c>
      <c r="C12" s="10">
        <f>IF(C8&lt;=0,"n.m. (FCF negative)",C8*(1+'Assumptions'!$C$45)/C7+'Assumptions'!$C$45)</f>
        <v/>
      </c>
      <c r="D12" s="10">
        <f>IF(D8&lt;=0,"n.m. (FCF negative)",D8*(1+'Assumptions'!$C$45)/D7+'Assumptions'!$C$45)</f>
        <v/>
      </c>
      <c r="E12" s="25">
        <f>'Assumptions'!$C$60</f>
        <v/>
      </c>
      <c r="F12" s="17" t="inlineStr">
        <is>
          <t>model WACC</t>
        </is>
      </c>
    </row>
    <row r="13">
      <c r="B13" t="inlineStr">
        <is>
          <t>Lever 3 - required EBIT margin (steady state)</t>
        </is>
      </c>
      <c r="C13" s="10">
        <f>C7*('Assumptions'!$C$60-'Assumptions'!$C$45)/((1+'Assumptions'!$C$45)*(1-'Assumptions'!$C$45/Assumptions!$C$74))/(1-'Assumptions'!$C$35)/'Assumptions'!$C$25</f>
        <v/>
      </c>
      <c r="D13" s="10">
        <f>D7*('Assumptions'!$C$60-'Assumptions'!$C$45)/((1+'Assumptions'!$C$45)*(1-'Assumptions'!$C$45/Assumptions!$C$74))/(1-'Assumptions'!$C$35)/'Assumptions'!$C$25</f>
        <v/>
      </c>
      <c r="E13" s="25">
        <f>DCF!$C$11/DCF!$C$7</f>
        <v/>
      </c>
      <c r="F13" s="17" t="inlineStr">
        <is>
          <t>actual EBIT margin</t>
        </is>
      </c>
    </row>
    <row r="14">
      <c r="B14" t="inlineStr">
        <is>
          <t>Lever 4 - required NWC % of revenue (steady state)</t>
        </is>
      </c>
      <c r="C14" s="10">
        <f>IF((DCF!$C$13-'Assumptions'!$C$62*'Assumptions'!$C$25*'Assumptions'!$C$45-C7*('Assumptions'!$C$60-'Assumptions'!$C$45)/(1+'Assumptions'!$C$45))&lt;0,"Unreachable: needs negative working capital",(DCF!$C$13-'Assumptions'!$C$62*'Assumptions'!$C$25*'Assumptions'!$C$45-C7*('Assumptions'!$C$60-'Assumptions'!$C$45)/(1+'Assumptions'!$C$45))/('Assumptions'!$C$25*'Assumptions'!$C$45))</f>
        <v/>
      </c>
      <c r="D14" s="10">
        <f>IF((DCF!$C$13-'Assumptions'!$C$62*'Assumptions'!$C$25*'Assumptions'!$C$45-D7*('Assumptions'!$C$60-'Assumptions'!$C$45)/(1+'Assumptions'!$C$45))&lt;0,"Unreachable: needs negative working capital",(DCF!$C$13-'Assumptions'!$C$62*'Assumptions'!$C$25*'Assumptions'!$C$45-D7*('Assumptions'!$C$60-'Assumptions'!$C$45)/(1+'Assumptions'!$C$45))/('Assumptions'!$C$25*'Assumptions'!$C$45))</f>
        <v/>
      </c>
      <c r="E14" s="25">
        <f>'Assumptions'!$C$32/'Assumptions'!$C$25</f>
        <v/>
      </c>
      <c r="F14" s="17" t="inlineStr">
        <is>
          <t>actual NWC %</t>
        </is>
      </c>
    </row>
    <row r="16">
      <c r="B16" s="8" t="inlineStr">
        <is>
          <t>In plain words (at cap)</t>
        </is>
      </c>
      <c r="C16" s="12">
        <f>IF(D8&lt;=0,"Current free cash flow is negative: no multiple can be stated, and the entire price rests on a turn that has not yet begun.","The price asks the business to deliver "&amp;TEXT(D9,"0.0")&amp;" times its current free cash flow, in perpetuity.")</f>
        <v/>
      </c>
    </row>
    <row r="18">
      <c r="B18" s="17" t="inlineStr">
        <is>
          <t>Levers 1-2 use actual Y0 FCFF (Gordon). Levers 3-4 use a steady state: capex = D&amp;A + k x dRev, terminal reinvestment g/ROIC. One implausible lever is an argument; four is a conclusion.</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 customWidth="1" min="1" max="1"/>
    <col width="16" customWidth="1" min="2" max="2"/>
    <col width="13" customWidth="1" min="3" max="3"/>
    <col width="13" customWidth="1" min="4" max="4"/>
    <col width="13" customWidth="1" min="5" max="5"/>
    <col width="13" customWidth="1" min="6" max="6"/>
    <col width="13" customWidth="1" min="7" max="7"/>
  </cols>
  <sheetData>
    <row r="1" ht="24" customHeight="1">
      <c r="A1" s="1" t="inlineStr">
        <is>
          <t>Sensitivity - value per share (Rs)</t>
        </is>
      </c>
    </row>
    <row r="2" ht="20" customHeight="1">
      <c r="A2" s="2" t="inlineStr">
        <is>
          <t>Parshwanath Capital Ventures Fund | SEBI Registered CAT III AIF | IN/AIF3/25-26/2108 | Fund Manager: CA Deep Dalal | Sponsor: Jignesh Shah</t>
        </is>
      </c>
    </row>
    <row r="4">
      <c r="B4" s="3" t="inlineStr">
        <is>
          <t>Grid 1: WACC (rows) vs terminal growth (columns)</t>
        </is>
      </c>
    </row>
    <row r="5">
      <c r="C5" s="10">
        <f>'Assumptions'!$C$45+-0.01</f>
        <v/>
      </c>
      <c r="D5" s="10">
        <f>'Assumptions'!$C$45+-0.005</f>
        <v/>
      </c>
      <c r="E5" s="10">
        <f>'Assumptions'!$C$45+0</f>
        <v/>
      </c>
      <c r="F5" s="10">
        <f>'Assumptions'!$C$45+0.005</f>
        <v/>
      </c>
      <c r="G5" s="10">
        <f>'Assumptions'!$C$45+0.01</f>
        <v/>
      </c>
    </row>
    <row r="6">
      <c r="B6" s="10">
        <f>'Assumptions'!$C$60+-0.02</f>
        <v/>
      </c>
      <c r="C6" s="13">
        <f>IF($B6-C$5&lt;=0,"n.m.",(NPV($B6,DCF!$D$18:$H$18)+DCF!$H$13*(1+C$5)*(1-C$5/Assumptions!$C$74)/($B6-C$5)/(1+$B6)^5-'Assumptions'!$C$31+'Assumptions'!$C$58)/'Assumptions'!$C$56)</f>
        <v/>
      </c>
      <c r="D6" s="13">
        <f>IF($B6-D$5&lt;=0,"n.m.",(NPV($B6,DCF!$D$18:$H$18)+DCF!$H$13*(1+D$5)*(1-D$5/Assumptions!$C$74)/($B6-D$5)/(1+$B6)^5-'Assumptions'!$C$31+'Assumptions'!$C$58)/'Assumptions'!$C$56)</f>
        <v/>
      </c>
      <c r="E6" s="13">
        <f>IF($B6-E$5&lt;=0,"n.m.",(NPV($B6,DCF!$D$18:$H$18)+DCF!$H$13*(1+E$5)*(1-E$5/Assumptions!$C$74)/($B6-E$5)/(1+$B6)^5-'Assumptions'!$C$31+'Assumptions'!$C$58)/'Assumptions'!$C$56)</f>
        <v/>
      </c>
      <c r="F6" s="13">
        <f>IF($B6-F$5&lt;=0,"n.m.",(NPV($B6,DCF!$D$18:$H$18)+DCF!$H$13*(1+F$5)*(1-F$5/Assumptions!$C$74)/($B6-F$5)/(1+$B6)^5-'Assumptions'!$C$31+'Assumptions'!$C$58)/'Assumptions'!$C$56)</f>
        <v/>
      </c>
      <c r="G6" s="13">
        <f>IF($B6-G$5&lt;=0,"n.m.",(NPV($B6,DCF!$D$18:$H$18)+DCF!$H$13*(1+G$5)*(1-G$5/Assumptions!$C$74)/($B6-G$5)/(1+$B6)^5-'Assumptions'!$C$31+'Assumptions'!$C$58)/'Assumptions'!$C$56)</f>
        <v/>
      </c>
    </row>
    <row r="7">
      <c r="B7" s="10">
        <f>'Assumptions'!$C$60+-0.01</f>
        <v/>
      </c>
      <c r="C7" s="13">
        <f>IF($B7-C$5&lt;=0,"n.m.",(NPV($B7,DCF!$D$18:$H$18)+DCF!$H$13*(1+C$5)*(1-C$5/Assumptions!$C$74)/($B7-C$5)/(1+$B7)^5-'Assumptions'!$C$31+'Assumptions'!$C$58)/'Assumptions'!$C$56)</f>
        <v/>
      </c>
      <c r="D7" s="13">
        <f>IF($B7-D$5&lt;=0,"n.m.",(NPV($B7,DCF!$D$18:$H$18)+DCF!$H$13*(1+D$5)*(1-D$5/Assumptions!$C$74)/($B7-D$5)/(1+$B7)^5-'Assumptions'!$C$31+'Assumptions'!$C$58)/'Assumptions'!$C$56)</f>
        <v/>
      </c>
      <c r="E7" s="13">
        <f>IF($B7-E$5&lt;=0,"n.m.",(NPV($B7,DCF!$D$18:$H$18)+DCF!$H$13*(1+E$5)*(1-E$5/Assumptions!$C$74)/($B7-E$5)/(1+$B7)^5-'Assumptions'!$C$31+'Assumptions'!$C$58)/'Assumptions'!$C$56)</f>
        <v/>
      </c>
      <c r="F7" s="13">
        <f>IF($B7-F$5&lt;=0,"n.m.",(NPV($B7,DCF!$D$18:$H$18)+DCF!$H$13*(1+F$5)*(1-F$5/Assumptions!$C$74)/($B7-F$5)/(1+$B7)^5-'Assumptions'!$C$31+'Assumptions'!$C$58)/'Assumptions'!$C$56)</f>
        <v/>
      </c>
      <c r="G7" s="13">
        <f>IF($B7-G$5&lt;=0,"n.m.",(NPV($B7,DCF!$D$18:$H$18)+DCF!$H$13*(1+G$5)*(1-G$5/Assumptions!$C$74)/($B7-G$5)/(1+$B7)^5-'Assumptions'!$C$31+'Assumptions'!$C$58)/'Assumptions'!$C$56)</f>
        <v/>
      </c>
    </row>
    <row r="8">
      <c r="B8" s="10">
        <f>'Assumptions'!$C$60+0</f>
        <v/>
      </c>
      <c r="C8" s="13">
        <f>IF($B8-C$5&lt;=0,"n.m.",(NPV($B8,DCF!$D$18:$H$18)+DCF!$H$13*(1+C$5)*(1-C$5/Assumptions!$C$74)/($B8-C$5)/(1+$B8)^5-'Assumptions'!$C$31+'Assumptions'!$C$58)/'Assumptions'!$C$56)</f>
        <v/>
      </c>
      <c r="D8" s="13">
        <f>IF($B8-D$5&lt;=0,"n.m.",(NPV($B8,DCF!$D$18:$H$18)+DCF!$H$13*(1+D$5)*(1-D$5/Assumptions!$C$74)/($B8-D$5)/(1+$B8)^5-'Assumptions'!$C$31+'Assumptions'!$C$58)/'Assumptions'!$C$56)</f>
        <v/>
      </c>
      <c r="E8" s="11">
        <f>IF($B8-E$5&lt;=0,"n.m.",(NPV($B8,DCF!$D$18:$H$18)+DCF!$H$13*(1+E$5)*(1-E$5/Assumptions!$C$74)/($B8-E$5)/(1+$B8)^5-'Assumptions'!$C$31+'Assumptions'!$C$58)/'Assumptions'!$C$56)</f>
        <v/>
      </c>
      <c r="F8" s="13">
        <f>IF($B8-F$5&lt;=0,"n.m.",(NPV($B8,DCF!$D$18:$H$18)+DCF!$H$13*(1+F$5)*(1-F$5/Assumptions!$C$74)/($B8-F$5)/(1+$B8)^5-'Assumptions'!$C$31+'Assumptions'!$C$58)/'Assumptions'!$C$56)</f>
        <v/>
      </c>
      <c r="G8" s="13">
        <f>IF($B8-G$5&lt;=0,"n.m.",(NPV($B8,DCF!$D$18:$H$18)+DCF!$H$13*(1+G$5)*(1-G$5/Assumptions!$C$74)/($B8-G$5)/(1+$B8)^5-'Assumptions'!$C$31+'Assumptions'!$C$58)/'Assumptions'!$C$56)</f>
        <v/>
      </c>
    </row>
    <row r="9">
      <c r="B9" s="10">
        <f>'Assumptions'!$C$60+0.01</f>
        <v/>
      </c>
      <c r="C9" s="13">
        <f>IF($B9-C$5&lt;=0,"n.m.",(NPV($B9,DCF!$D$18:$H$18)+DCF!$H$13*(1+C$5)*(1-C$5/Assumptions!$C$74)/($B9-C$5)/(1+$B9)^5-'Assumptions'!$C$31+'Assumptions'!$C$58)/'Assumptions'!$C$56)</f>
        <v/>
      </c>
      <c r="D9" s="13">
        <f>IF($B9-D$5&lt;=0,"n.m.",(NPV($B9,DCF!$D$18:$H$18)+DCF!$H$13*(1+D$5)*(1-D$5/Assumptions!$C$74)/($B9-D$5)/(1+$B9)^5-'Assumptions'!$C$31+'Assumptions'!$C$58)/'Assumptions'!$C$56)</f>
        <v/>
      </c>
      <c r="E9" s="13">
        <f>IF($B9-E$5&lt;=0,"n.m.",(NPV($B9,DCF!$D$18:$H$18)+DCF!$H$13*(1+E$5)*(1-E$5/Assumptions!$C$74)/($B9-E$5)/(1+$B9)^5-'Assumptions'!$C$31+'Assumptions'!$C$58)/'Assumptions'!$C$56)</f>
        <v/>
      </c>
      <c r="F9" s="13">
        <f>IF($B9-F$5&lt;=0,"n.m.",(NPV($B9,DCF!$D$18:$H$18)+DCF!$H$13*(1+F$5)*(1-F$5/Assumptions!$C$74)/($B9-F$5)/(1+$B9)^5-'Assumptions'!$C$31+'Assumptions'!$C$58)/'Assumptions'!$C$56)</f>
        <v/>
      </c>
      <c r="G9" s="13">
        <f>IF($B9-G$5&lt;=0,"n.m.",(NPV($B9,DCF!$D$18:$H$18)+DCF!$H$13*(1+G$5)*(1-G$5/Assumptions!$C$74)/($B9-G$5)/(1+$B9)^5-'Assumptions'!$C$31+'Assumptions'!$C$58)/'Assumptions'!$C$56)</f>
        <v/>
      </c>
    </row>
    <row r="10">
      <c r="B10" s="10">
        <f>'Assumptions'!$C$60+0.02</f>
        <v/>
      </c>
      <c r="C10" s="13">
        <f>IF($B10-C$5&lt;=0,"n.m.",(NPV($B10,DCF!$D$18:$H$18)+DCF!$H$13*(1+C$5)*(1-C$5/Assumptions!$C$74)/($B10-C$5)/(1+$B10)^5-'Assumptions'!$C$31+'Assumptions'!$C$58)/'Assumptions'!$C$56)</f>
        <v/>
      </c>
      <c r="D10" s="13">
        <f>IF($B10-D$5&lt;=0,"n.m.",(NPV($B10,DCF!$D$18:$H$18)+DCF!$H$13*(1+D$5)*(1-D$5/Assumptions!$C$74)/($B10-D$5)/(1+$B10)^5-'Assumptions'!$C$31+'Assumptions'!$C$58)/'Assumptions'!$C$56)</f>
        <v/>
      </c>
      <c r="E10" s="13">
        <f>IF($B10-E$5&lt;=0,"n.m.",(NPV($B10,DCF!$D$18:$H$18)+DCF!$H$13*(1+E$5)*(1-E$5/Assumptions!$C$74)/($B10-E$5)/(1+$B10)^5-'Assumptions'!$C$31+'Assumptions'!$C$58)/'Assumptions'!$C$56)</f>
        <v/>
      </c>
      <c r="F10" s="13">
        <f>IF($B10-F$5&lt;=0,"n.m.",(NPV($B10,DCF!$D$18:$H$18)+DCF!$H$13*(1+F$5)*(1-F$5/Assumptions!$C$74)/($B10-F$5)/(1+$B10)^5-'Assumptions'!$C$31+'Assumptions'!$C$58)/'Assumptions'!$C$56)</f>
        <v/>
      </c>
      <c r="G10" s="13">
        <f>IF($B10-G$5&lt;=0,"n.m.",(NPV($B10,DCF!$D$18:$H$18)+DCF!$H$13*(1+G$5)*(1-G$5/Assumptions!$C$74)/($B10-G$5)/(1+$B10)^5-'Assumptions'!$C$31+'Assumptions'!$C$58)/'Assumptions'!$C$56)</f>
        <v/>
      </c>
    </row>
    <row r="12">
      <c r="B12" s="3" t="inlineStr">
        <is>
          <t>Grid 2: NWC % of revenue (rows) vs EBITDA margin (columns) - model WACC and g</t>
        </is>
      </c>
    </row>
    <row r="13">
      <c r="C13" s="10">
        <f>Assumptions!$C$72+-0.02</f>
        <v/>
      </c>
      <c r="D13" s="10">
        <f>Assumptions!$C$72+-0.01</f>
        <v/>
      </c>
      <c r="E13" s="10">
        <f>Assumptions!$C$72+0</f>
        <v/>
      </c>
      <c r="F13" s="10">
        <f>Assumptions!$C$72+0.01</f>
        <v/>
      </c>
      <c r="G13" s="10">
        <f>Assumptions!$C$72+0.02</f>
        <v/>
      </c>
    </row>
    <row r="14">
      <c r="B14" s="10">
        <f>Assumptions!$C$73+-0.06</f>
        <v/>
      </c>
      <c r="C14" s="13">
        <f>DCF!$C$37+((C$13-Assumptions!$C$72)*(1-'Assumptions'!$C$35)*(SUMPRODUCT(DCF!$D$7:$H$7,DCF!$D$19:$H$19)+DCF!$H$7*(1+'Assumptions'!$C$45)*(1-'Assumptions'!$C$45/Assumptions!$C$74)/('Assumptions'!$C$60-'Assumptions'!$C$45)*DCF!$H$19)+SUMPRODUCT(DCF!$D$17:$H$17,DCF!$D$19:$H$19)-((DCF!$D$7*$B14-DCF!$C$16)*DCF!$D$19+$B14*SUMPRODUCT(DCF!$E$7:$H$7-DCF!$D$7:$G$7,DCF!$E$19:$H$19)))/'Assumptions'!$C$56</f>
        <v/>
      </c>
      <c r="D14" s="13">
        <f>DCF!$C$37+((D$13-Assumptions!$C$72)*(1-'Assumptions'!$C$35)*(SUMPRODUCT(DCF!$D$7:$H$7,DCF!$D$19:$H$19)+DCF!$H$7*(1+'Assumptions'!$C$45)*(1-'Assumptions'!$C$45/Assumptions!$C$74)/('Assumptions'!$C$60-'Assumptions'!$C$45)*DCF!$H$19)+SUMPRODUCT(DCF!$D$17:$H$17,DCF!$D$19:$H$19)-((DCF!$D$7*$B14-DCF!$C$16)*DCF!$D$19+$B14*SUMPRODUCT(DCF!$E$7:$H$7-DCF!$D$7:$G$7,DCF!$E$19:$H$19)))/'Assumptions'!$C$56</f>
        <v/>
      </c>
      <c r="E14" s="13">
        <f>DCF!$C$37+((E$13-Assumptions!$C$72)*(1-'Assumptions'!$C$35)*(SUMPRODUCT(DCF!$D$7:$H$7,DCF!$D$19:$H$19)+DCF!$H$7*(1+'Assumptions'!$C$45)*(1-'Assumptions'!$C$45/Assumptions!$C$74)/('Assumptions'!$C$60-'Assumptions'!$C$45)*DCF!$H$19)+SUMPRODUCT(DCF!$D$17:$H$17,DCF!$D$19:$H$19)-((DCF!$D$7*$B14-DCF!$C$16)*DCF!$D$19+$B14*SUMPRODUCT(DCF!$E$7:$H$7-DCF!$D$7:$G$7,DCF!$E$19:$H$19)))/'Assumptions'!$C$56</f>
        <v/>
      </c>
      <c r="F14" s="13">
        <f>DCF!$C$37+((F$13-Assumptions!$C$72)*(1-'Assumptions'!$C$35)*(SUMPRODUCT(DCF!$D$7:$H$7,DCF!$D$19:$H$19)+DCF!$H$7*(1+'Assumptions'!$C$45)*(1-'Assumptions'!$C$45/Assumptions!$C$74)/('Assumptions'!$C$60-'Assumptions'!$C$45)*DCF!$H$19)+SUMPRODUCT(DCF!$D$17:$H$17,DCF!$D$19:$H$19)-((DCF!$D$7*$B14-DCF!$C$16)*DCF!$D$19+$B14*SUMPRODUCT(DCF!$E$7:$H$7-DCF!$D$7:$G$7,DCF!$E$19:$H$19)))/'Assumptions'!$C$56</f>
        <v/>
      </c>
      <c r="G14" s="13">
        <f>DCF!$C$37+((G$13-Assumptions!$C$72)*(1-'Assumptions'!$C$35)*(SUMPRODUCT(DCF!$D$7:$H$7,DCF!$D$19:$H$19)+DCF!$H$7*(1+'Assumptions'!$C$45)*(1-'Assumptions'!$C$45/Assumptions!$C$74)/('Assumptions'!$C$60-'Assumptions'!$C$45)*DCF!$H$19)+SUMPRODUCT(DCF!$D$17:$H$17,DCF!$D$19:$H$19)-((DCF!$D$7*$B14-DCF!$C$16)*DCF!$D$19+$B14*SUMPRODUCT(DCF!$E$7:$H$7-DCF!$D$7:$G$7,DCF!$E$19:$H$19)))/'Assumptions'!$C$56</f>
        <v/>
      </c>
    </row>
    <row r="15">
      <c r="B15" s="10">
        <f>Assumptions!$C$73+-0.03</f>
        <v/>
      </c>
      <c r="C15" s="13">
        <f>DCF!$C$37+((C$13-Assumptions!$C$72)*(1-'Assumptions'!$C$35)*(SUMPRODUCT(DCF!$D$7:$H$7,DCF!$D$19:$H$19)+DCF!$H$7*(1+'Assumptions'!$C$45)*(1-'Assumptions'!$C$45/Assumptions!$C$74)/('Assumptions'!$C$60-'Assumptions'!$C$45)*DCF!$H$19)+SUMPRODUCT(DCF!$D$17:$H$17,DCF!$D$19:$H$19)-((DCF!$D$7*$B15-DCF!$C$16)*DCF!$D$19+$B15*SUMPRODUCT(DCF!$E$7:$H$7-DCF!$D$7:$G$7,DCF!$E$19:$H$19)))/'Assumptions'!$C$56</f>
        <v/>
      </c>
      <c r="D15" s="13">
        <f>DCF!$C$37+((D$13-Assumptions!$C$72)*(1-'Assumptions'!$C$35)*(SUMPRODUCT(DCF!$D$7:$H$7,DCF!$D$19:$H$19)+DCF!$H$7*(1+'Assumptions'!$C$45)*(1-'Assumptions'!$C$45/Assumptions!$C$74)/('Assumptions'!$C$60-'Assumptions'!$C$45)*DCF!$H$19)+SUMPRODUCT(DCF!$D$17:$H$17,DCF!$D$19:$H$19)-((DCF!$D$7*$B15-DCF!$C$16)*DCF!$D$19+$B15*SUMPRODUCT(DCF!$E$7:$H$7-DCF!$D$7:$G$7,DCF!$E$19:$H$19)))/'Assumptions'!$C$56</f>
        <v/>
      </c>
      <c r="E15" s="13">
        <f>DCF!$C$37+((E$13-Assumptions!$C$72)*(1-'Assumptions'!$C$35)*(SUMPRODUCT(DCF!$D$7:$H$7,DCF!$D$19:$H$19)+DCF!$H$7*(1+'Assumptions'!$C$45)*(1-'Assumptions'!$C$45/Assumptions!$C$74)/('Assumptions'!$C$60-'Assumptions'!$C$45)*DCF!$H$19)+SUMPRODUCT(DCF!$D$17:$H$17,DCF!$D$19:$H$19)-((DCF!$D$7*$B15-DCF!$C$16)*DCF!$D$19+$B15*SUMPRODUCT(DCF!$E$7:$H$7-DCF!$D$7:$G$7,DCF!$E$19:$H$19)))/'Assumptions'!$C$56</f>
        <v/>
      </c>
      <c r="F15" s="13">
        <f>DCF!$C$37+((F$13-Assumptions!$C$72)*(1-'Assumptions'!$C$35)*(SUMPRODUCT(DCF!$D$7:$H$7,DCF!$D$19:$H$19)+DCF!$H$7*(1+'Assumptions'!$C$45)*(1-'Assumptions'!$C$45/Assumptions!$C$74)/('Assumptions'!$C$60-'Assumptions'!$C$45)*DCF!$H$19)+SUMPRODUCT(DCF!$D$17:$H$17,DCF!$D$19:$H$19)-((DCF!$D$7*$B15-DCF!$C$16)*DCF!$D$19+$B15*SUMPRODUCT(DCF!$E$7:$H$7-DCF!$D$7:$G$7,DCF!$E$19:$H$19)))/'Assumptions'!$C$56</f>
        <v/>
      </c>
      <c r="G15" s="13">
        <f>DCF!$C$37+((G$13-Assumptions!$C$72)*(1-'Assumptions'!$C$35)*(SUMPRODUCT(DCF!$D$7:$H$7,DCF!$D$19:$H$19)+DCF!$H$7*(1+'Assumptions'!$C$45)*(1-'Assumptions'!$C$45/Assumptions!$C$74)/('Assumptions'!$C$60-'Assumptions'!$C$45)*DCF!$H$19)+SUMPRODUCT(DCF!$D$17:$H$17,DCF!$D$19:$H$19)-((DCF!$D$7*$B15-DCF!$C$16)*DCF!$D$19+$B15*SUMPRODUCT(DCF!$E$7:$H$7-DCF!$D$7:$G$7,DCF!$E$19:$H$19)))/'Assumptions'!$C$56</f>
        <v/>
      </c>
    </row>
    <row r="16">
      <c r="B16" s="10">
        <f>Assumptions!$C$73+0</f>
        <v/>
      </c>
      <c r="C16" s="13">
        <f>DCF!$C$37+((C$13-Assumptions!$C$72)*(1-'Assumptions'!$C$35)*(SUMPRODUCT(DCF!$D$7:$H$7,DCF!$D$19:$H$19)+DCF!$H$7*(1+'Assumptions'!$C$45)*(1-'Assumptions'!$C$45/Assumptions!$C$74)/('Assumptions'!$C$60-'Assumptions'!$C$45)*DCF!$H$19)+SUMPRODUCT(DCF!$D$17:$H$17,DCF!$D$19:$H$19)-((DCF!$D$7*$B16-DCF!$C$16)*DCF!$D$19+$B16*SUMPRODUCT(DCF!$E$7:$H$7-DCF!$D$7:$G$7,DCF!$E$19:$H$19)))/'Assumptions'!$C$56</f>
        <v/>
      </c>
      <c r="D16" s="13">
        <f>DCF!$C$37+((D$13-Assumptions!$C$72)*(1-'Assumptions'!$C$35)*(SUMPRODUCT(DCF!$D$7:$H$7,DCF!$D$19:$H$19)+DCF!$H$7*(1+'Assumptions'!$C$45)*(1-'Assumptions'!$C$45/Assumptions!$C$74)/('Assumptions'!$C$60-'Assumptions'!$C$45)*DCF!$H$19)+SUMPRODUCT(DCF!$D$17:$H$17,DCF!$D$19:$H$19)-((DCF!$D$7*$B16-DCF!$C$16)*DCF!$D$19+$B16*SUMPRODUCT(DCF!$E$7:$H$7-DCF!$D$7:$G$7,DCF!$E$19:$H$19)))/'Assumptions'!$C$56</f>
        <v/>
      </c>
      <c r="E16" s="11">
        <f>DCF!$C$37+((E$13-Assumptions!$C$72)*(1-'Assumptions'!$C$35)*(SUMPRODUCT(DCF!$D$7:$H$7,DCF!$D$19:$H$19)+DCF!$H$7*(1+'Assumptions'!$C$45)*(1-'Assumptions'!$C$45/Assumptions!$C$74)/('Assumptions'!$C$60-'Assumptions'!$C$45)*DCF!$H$19)+SUMPRODUCT(DCF!$D$17:$H$17,DCF!$D$19:$H$19)-((DCF!$D$7*$B16-DCF!$C$16)*DCF!$D$19+$B16*SUMPRODUCT(DCF!$E$7:$H$7-DCF!$D$7:$G$7,DCF!$E$19:$H$19)))/'Assumptions'!$C$56</f>
        <v/>
      </c>
      <c r="F16" s="13">
        <f>DCF!$C$37+((F$13-Assumptions!$C$72)*(1-'Assumptions'!$C$35)*(SUMPRODUCT(DCF!$D$7:$H$7,DCF!$D$19:$H$19)+DCF!$H$7*(1+'Assumptions'!$C$45)*(1-'Assumptions'!$C$45/Assumptions!$C$74)/('Assumptions'!$C$60-'Assumptions'!$C$45)*DCF!$H$19)+SUMPRODUCT(DCF!$D$17:$H$17,DCF!$D$19:$H$19)-((DCF!$D$7*$B16-DCF!$C$16)*DCF!$D$19+$B16*SUMPRODUCT(DCF!$E$7:$H$7-DCF!$D$7:$G$7,DCF!$E$19:$H$19)))/'Assumptions'!$C$56</f>
        <v/>
      </c>
      <c r="G16" s="13">
        <f>DCF!$C$37+((G$13-Assumptions!$C$72)*(1-'Assumptions'!$C$35)*(SUMPRODUCT(DCF!$D$7:$H$7,DCF!$D$19:$H$19)+DCF!$H$7*(1+'Assumptions'!$C$45)*(1-'Assumptions'!$C$45/Assumptions!$C$74)/('Assumptions'!$C$60-'Assumptions'!$C$45)*DCF!$H$19)+SUMPRODUCT(DCF!$D$17:$H$17,DCF!$D$19:$H$19)-((DCF!$D$7*$B16-DCF!$C$16)*DCF!$D$19+$B16*SUMPRODUCT(DCF!$E$7:$H$7-DCF!$D$7:$G$7,DCF!$E$19:$H$19)))/'Assumptions'!$C$56</f>
        <v/>
      </c>
    </row>
    <row r="17">
      <c r="B17" s="10">
        <f>Assumptions!$C$73+0.03</f>
        <v/>
      </c>
      <c r="C17" s="13">
        <f>DCF!$C$37+((C$13-Assumptions!$C$72)*(1-'Assumptions'!$C$35)*(SUMPRODUCT(DCF!$D$7:$H$7,DCF!$D$19:$H$19)+DCF!$H$7*(1+'Assumptions'!$C$45)*(1-'Assumptions'!$C$45/Assumptions!$C$74)/('Assumptions'!$C$60-'Assumptions'!$C$45)*DCF!$H$19)+SUMPRODUCT(DCF!$D$17:$H$17,DCF!$D$19:$H$19)-((DCF!$D$7*$B17-DCF!$C$16)*DCF!$D$19+$B17*SUMPRODUCT(DCF!$E$7:$H$7-DCF!$D$7:$G$7,DCF!$E$19:$H$19)))/'Assumptions'!$C$56</f>
        <v/>
      </c>
      <c r="D17" s="13">
        <f>DCF!$C$37+((D$13-Assumptions!$C$72)*(1-'Assumptions'!$C$35)*(SUMPRODUCT(DCF!$D$7:$H$7,DCF!$D$19:$H$19)+DCF!$H$7*(1+'Assumptions'!$C$45)*(1-'Assumptions'!$C$45/Assumptions!$C$74)/('Assumptions'!$C$60-'Assumptions'!$C$45)*DCF!$H$19)+SUMPRODUCT(DCF!$D$17:$H$17,DCF!$D$19:$H$19)-((DCF!$D$7*$B17-DCF!$C$16)*DCF!$D$19+$B17*SUMPRODUCT(DCF!$E$7:$H$7-DCF!$D$7:$G$7,DCF!$E$19:$H$19)))/'Assumptions'!$C$56</f>
        <v/>
      </c>
      <c r="E17" s="13">
        <f>DCF!$C$37+((E$13-Assumptions!$C$72)*(1-'Assumptions'!$C$35)*(SUMPRODUCT(DCF!$D$7:$H$7,DCF!$D$19:$H$19)+DCF!$H$7*(1+'Assumptions'!$C$45)*(1-'Assumptions'!$C$45/Assumptions!$C$74)/('Assumptions'!$C$60-'Assumptions'!$C$45)*DCF!$H$19)+SUMPRODUCT(DCF!$D$17:$H$17,DCF!$D$19:$H$19)-((DCF!$D$7*$B17-DCF!$C$16)*DCF!$D$19+$B17*SUMPRODUCT(DCF!$E$7:$H$7-DCF!$D$7:$G$7,DCF!$E$19:$H$19)))/'Assumptions'!$C$56</f>
        <v/>
      </c>
      <c r="F17" s="13">
        <f>DCF!$C$37+((F$13-Assumptions!$C$72)*(1-'Assumptions'!$C$35)*(SUMPRODUCT(DCF!$D$7:$H$7,DCF!$D$19:$H$19)+DCF!$H$7*(1+'Assumptions'!$C$45)*(1-'Assumptions'!$C$45/Assumptions!$C$74)/('Assumptions'!$C$60-'Assumptions'!$C$45)*DCF!$H$19)+SUMPRODUCT(DCF!$D$17:$H$17,DCF!$D$19:$H$19)-((DCF!$D$7*$B17-DCF!$C$16)*DCF!$D$19+$B17*SUMPRODUCT(DCF!$E$7:$H$7-DCF!$D$7:$G$7,DCF!$E$19:$H$19)))/'Assumptions'!$C$56</f>
        <v/>
      </c>
      <c r="G17" s="13">
        <f>DCF!$C$37+((G$13-Assumptions!$C$72)*(1-'Assumptions'!$C$35)*(SUMPRODUCT(DCF!$D$7:$H$7,DCF!$D$19:$H$19)+DCF!$H$7*(1+'Assumptions'!$C$45)*(1-'Assumptions'!$C$45/Assumptions!$C$74)/('Assumptions'!$C$60-'Assumptions'!$C$45)*DCF!$H$19)+SUMPRODUCT(DCF!$D$17:$H$17,DCF!$D$19:$H$19)-((DCF!$D$7*$B17-DCF!$C$16)*DCF!$D$19+$B17*SUMPRODUCT(DCF!$E$7:$H$7-DCF!$D$7:$G$7,DCF!$E$19:$H$19)))/'Assumptions'!$C$56</f>
        <v/>
      </c>
    </row>
    <row r="18">
      <c r="B18" s="10">
        <f>Assumptions!$C$73+0.06</f>
        <v/>
      </c>
      <c r="C18" s="13">
        <f>DCF!$C$37+((C$13-Assumptions!$C$72)*(1-'Assumptions'!$C$35)*(SUMPRODUCT(DCF!$D$7:$H$7,DCF!$D$19:$H$19)+DCF!$H$7*(1+'Assumptions'!$C$45)*(1-'Assumptions'!$C$45/Assumptions!$C$74)/('Assumptions'!$C$60-'Assumptions'!$C$45)*DCF!$H$19)+SUMPRODUCT(DCF!$D$17:$H$17,DCF!$D$19:$H$19)-((DCF!$D$7*$B18-DCF!$C$16)*DCF!$D$19+$B18*SUMPRODUCT(DCF!$E$7:$H$7-DCF!$D$7:$G$7,DCF!$E$19:$H$19)))/'Assumptions'!$C$56</f>
        <v/>
      </c>
      <c r="D18" s="13">
        <f>DCF!$C$37+((D$13-Assumptions!$C$72)*(1-'Assumptions'!$C$35)*(SUMPRODUCT(DCF!$D$7:$H$7,DCF!$D$19:$H$19)+DCF!$H$7*(1+'Assumptions'!$C$45)*(1-'Assumptions'!$C$45/Assumptions!$C$74)/('Assumptions'!$C$60-'Assumptions'!$C$45)*DCF!$H$19)+SUMPRODUCT(DCF!$D$17:$H$17,DCF!$D$19:$H$19)-((DCF!$D$7*$B18-DCF!$C$16)*DCF!$D$19+$B18*SUMPRODUCT(DCF!$E$7:$H$7-DCF!$D$7:$G$7,DCF!$E$19:$H$19)))/'Assumptions'!$C$56</f>
        <v/>
      </c>
      <c r="E18" s="13">
        <f>DCF!$C$37+((E$13-Assumptions!$C$72)*(1-'Assumptions'!$C$35)*(SUMPRODUCT(DCF!$D$7:$H$7,DCF!$D$19:$H$19)+DCF!$H$7*(1+'Assumptions'!$C$45)*(1-'Assumptions'!$C$45/Assumptions!$C$74)/('Assumptions'!$C$60-'Assumptions'!$C$45)*DCF!$H$19)+SUMPRODUCT(DCF!$D$17:$H$17,DCF!$D$19:$H$19)-((DCF!$D$7*$B18-DCF!$C$16)*DCF!$D$19+$B18*SUMPRODUCT(DCF!$E$7:$H$7-DCF!$D$7:$G$7,DCF!$E$19:$H$19)))/'Assumptions'!$C$56</f>
        <v/>
      </c>
      <c r="F18" s="13">
        <f>DCF!$C$37+((F$13-Assumptions!$C$72)*(1-'Assumptions'!$C$35)*(SUMPRODUCT(DCF!$D$7:$H$7,DCF!$D$19:$H$19)+DCF!$H$7*(1+'Assumptions'!$C$45)*(1-'Assumptions'!$C$45/Assumptions!$C$74)/('Assumptions'!$C$60-'Assumptions'!$C$45)*DCF!$H$19)+SUMPRODUCT(DCF!$D$17:$H$17,DCF!$D$19:$H$19)-((DCF!$D$7*$B18-DCF!$C$16)*DCF!$D$19+$B18*SUMPRODUCT(DCF!$E$7:$H$7-DCF!$D$7:$G$7,DCF!$E$19:$H$19)))/'Assumptions'!$C$56</f>
        <v/>
      </c>
      <c r="G18" s="13">
        <f>DCF!$C$37+((G$13-Assumptions!$C$72)*(1-'Assumptions'!$C$35)*(SUMPRODUCT(DCF!$D$7:$H$7,DCF!$D$19:$H$19)+DCF!$H$7*(1+'Assumptions'!$C$45)*(1-'Assumptions'!$C$45/Assumptions!$C$74)/('Assumptions'!$C$60-'Assumptions'!$C$45)*DCF!$H$19)+SUMPRODUCT(DCF!$D$17:$H$17,DCF!$D$19:$H$19)-((DCF!$D$7*$B18-DCF!$C$16)*DCF!$D$19+$B18*SUMPRODUCT(DCF!$E$7:$H$7-DCF!$D$7:$G$7,DCF!$E$19:$H$19)))/'Assumptions'!$C$56</f>
        <v/>
      </c>
    </row>
    <row r="20">
      <c r="B20" s="17" t="inlineStr">
        <is>
          <t>Centre cells (yellow) equal the DCF value. Working capital is often the dominant lever - if Grid 2 moves value more than Grid 1, say so in the note.</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2026-10-04T16:09:28Z</dcterms:created>
  <dcterms:modified xsi:type="dcterms:W3CDTF">2026-10-04T16:09:28Z</dcterms:modified>
</cp:coreProperties>
</file>