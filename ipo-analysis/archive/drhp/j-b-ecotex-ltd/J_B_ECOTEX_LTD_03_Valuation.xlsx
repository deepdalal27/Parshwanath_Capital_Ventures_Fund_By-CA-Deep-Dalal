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Assumptions" sheetId="3" state="visible" r:id="rId3"/>
    <sheet name="DCF" sheetId="4" state="visible" r:id="rId4"/>
    <sheet name="Peers" sheetId="5" state="visible" r:id="rId5"/>
    <sheet name="Relative" sheetId="6" state="visible" r:id="rId6"/>
    <sheet name="ReverseDCF" sheetId="7" state="visible" r:id="rId7"/>
    <sheet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J B Ecotex Limited</t>
        </is>
      </c>
      <c r="D8" s="21" t="inlineStr"/>
    </row>
    <row r="9">
      <c r="B9" s="19" t="inlineStr">
        <is>
          <t>Financial basis</t>
        </is>
      </c>
      <c r="C9" s="20" t="inlineStr">
        <is>
          <t>Consolidated</t>
        </is>
      </c>
      <c r="D9" s="21" t="inlineStr"/>
      <c r="E9" s="17" t="inlineStr">
        <is>
          <t>Use the same basis for every peer</t>
        </is>
      </c>
    </row>
    <row r="10">
      <c r="B10" s="19" t="inlineStr">
        <is>
          <t>Pre-issue shares, fully diluted (post any bonus)</t>
        </is>
      </c>
      <c r="C10" s="15" t="n">
        <v>17.198846</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400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1.295</v>
      </c>
      <c r="D14" s="21" t="inlineStr">
        <is>
          <t>crore</t>
        </is>
      </c>
    </row>
    <row r="15">
      <c r="B15" s="19" t="inlineStr">
        <is>
          <t>Price band - floor</t>
        </is>
      </c>
      <c r="C15" s="15" t="n">
        <v>90.09999999999999</v>
      </c>
      <c r="D15" s="21" t="inlineStr">
        <is>
          <t>Rs</t>
        </is>
      </c>
    </row>
    <row r="16">
      <c r="B16" s="19" t="inlineStr">
        <is>
          <t>Price band - cap</t>
        </is>
      </c>
      <c r="C16" s="15" t="n">
        <v>90.09999999999999</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320</v>
      </c>
      <c r="D18" s="21" t="inlineStr">
        <is>
          <t>Rs cr</t>
        </is>
      </c>
    </row>
    <row r="19">
      <c r="B19" s="19" t="inlineStr">
        <is>
          <t>Offer expenses as % of fresh issue</t>
        </is>
      </c>
      <c r="C19" s="16" t="n"/>
      <c r="D19" s="21" t="inlineStr"/>
    </row>
    <row r="20">
      <c r="B20" s="19" t="inlineStr">
        <is>
          <t>GCP as % of fresh issue</t>
        </is>
      </c>
      <c r="C20" s="16" t="n"/>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827.602</v>
      </c>
      <c r="D25" s="21" t="inlineStr">
        <is>
          <t>Rs cr</t>
        </is>
      </c>
    </row>
    <row r="26">
      <c r="B26" s="19" t="inlineStr">
        <is>
          <t>Revenue - prior year</t>
        </is>
      </c>
      <c r="C26" s="15" t="n">
        <v>716.2329999999999</v>
      </c>
      <c r="D26" s="21" t="inlineStr">
        <is>
          <t>Rs cr</t>
        </is>
      </c>
    </row>
    <row r="27">
      <c r="B27" s="19" t="inlineStr">
        <is>
          <t>EBITDA (ties to issuer KPI table)</t>
        </is>
      </c>
      <c r="C27" s="15" t="n">
        <v>89.876</v>
      </c>
      <c r="D27" s="21" t="inlineStr">
        <is>
          <t>Rs cr</t>
        </is>
      </c>
    </row>
    <row r="28">
      <c r="B28" s="19" t="inlineStr">
        <is>
          <t>Depreciation &amp; amortisation</t>
        </is>
      </c>
      <c r="C28" s="15" t="n">
        <v>31.296</v>
      </c>
      <c r="D28" s="21" t="inlineStr">
        <is>
          <t>Rs cr</t>
        </is>
      </c>
    </row>
    <row r="29">
      <c r="B29" s="19" t="inlineStr">
        <is>
          <t>PAT</t>
        </is>
      </c>
      <c r="C29" s="15" t="n">
        <v>22.492</v>
      </c>
      <c r="D29" s="21" t="inlineStr">
        <is>
          <t>Rs cr</t>
        </is>
      </c>
    </row>
    <row r="30">
      <c r="B30" s="19" t="inlineStr">
        <is>
          <t>Net worth (pre-issue)</t>
        </is>
      </c>
      <c r="C30" s="15" t="n">
        <v>212.289</v>
      </c>
      <c r="D30" s="21" t="inlineStr">
        <is>
          <t>Rs cr</t>
        </is>
      </c>
    </row>
    <row r="31">
      <c r="B31" s="19" t="inlineStr">
        <is>
          <t>Net debt (borrowings - cash)</t>
        </is>
      </c>
      <c r="C31" s="15" t="n">
        <v>305.285</v>
      </c>
      <c r="D31" s="21" t="inlineStr">
        <is>
          <t>Rs cr</t>
        </is>
      </c>
    </row>
    <row r="32">
      <c r="B32" s="19" t="inlineStr">
        <is>
          <t>Net working capital</t>
        </is>
      </c>
      <c r="C32" s="15" t="n">
        <v>105.369</v>
      </c>
      <c r="D32" s="21" t="inlineStr">
        <is>
          <t>Rs cr</t>
        </is>
      </c>
      <c r="E32" s="17" t="inlineStr">
        <is>
          <t>Reconcile to Objects-chapter WC table</t>
        </is>
      </c>
    </row>
    <row r="33">
      <c r="B33" s="19" t="inlineStr">
        <is>
          <t>Net working capital - prior year</t>
        </is>
      </c>
      <c r="C33" s="15" t="n">
        <v>99.958</v>
      </c>
      <c r="D33" s="21" t="inlineStr">
        <is>
          <t>Rs cr</t>
        </is>
      </c>
    </row>
    <row r="34">
      <c r="B34" s="19" t="inlineStr">
        <is>
          <t>Capex (purchase of PPE + intangibles)</t>
        </is>
      </c>
      <c r="C34" s="15" t="n">
        <v>65.158</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0.02</v>
      </c>
      <c r="D42" s="21" t="inlineStr"/>
    </row>
    <row r="43">
      <c r="B43" s="19" t="inlineStr">
        <is>
          <t>Pre-tax cost of debt</t>
        </is>
      </c>
      <c r="C43" s="16" t="n">
        <v>0.08</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0.6</v>
      </c>
      <c r="D48" s="21" t="inlineStr"/>
      <c r="E48" s="17" t="inlineStr">
        <is>
          <t>80%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0.1</v>
      </c>
      <c r="D52" s="21" t="inlineStr"/>
      <c r="E52" s="17" t="inlineStr">
        <is>
          <t>Size, liquidity,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0.14</v>
      </c>
      <c r="G67" s="16" t="n">
        <v>0.2</v>
      </c>
      <c r="H67" s="20" t="inlineStr">
        <is>
          <t>FY25 +35.8%, FY26 +15.5% (p. 72); sales volume +18.4% in FY26 to 101,505 MT (p. 122) but revenue per tonne fell 2.4% (Rs 81,533 vs Rs 83,511). Installed capacity is 180,360 MTPA at Aug-2026 against FY26 production of 99,190 MT (pp. 122, 225). Bear assumes volume growth stalls and realisation is flat; Bull assumes new food-grade capacity (+34,560 MTPA) fills.</t>
        </is>
      </c>
    </row>
    <row r="68">
      <c r="B68" t="inlineStr">
        <is>
          <t>Revenue growth Y2</t>
        </is>
      </c>
      <c r="C68" s="23">
        <f>INDEX(E68:G68,Assumptions!$C$5)</f>
        <v/>
      </c>
      <c r="E68" s="16" t="n">
        <v>0.05</v>
      </c>
      <c r="F68" s="16" t="n">
        <v>0.13</v>
      </c>
      <c r="G68" s="16" t="n">
        <v>0.18</v>
      </c>
      <c r="H68" s="20" t="inlineStr">
        <is>
          <t>[rationale + page]</t>
        </is>
      </c>
    </row>
    <row r="69">
      <c r="B69" t="inlineStr">
        <is>
          <t>Revenue growth Y3</t>
        </is>
      </c>
      <c r="C69" s="23">
        <f>INDEX(E69:G69,Assumptions!$C$5)</f>
        <v/>
      </c>
      <c r="E69" s="16" t="n">
        <v>0.04</v>
      </c>
      <c r="F69" s="16" t="n">
        <v>0.11</v>
      </c>
      <c r="G69" s="16" t="n">
        <v>0.15</v>
      </c>
      <c r="H69" s="20" t="inlineStr">
        <is>
          <t>[rationale + page]</t>
        </is>
      </c>
    </row>
    <row r="70">
      <c r="B70" t="inlineStr">
        <is>
          <t>Revenue growth Y4</t>
        </is>
      </c>
      <c r="C70" s="23">
        <f>INDEX(E70:G70,Assumptions!$C$5)</f>
        <v/>
      </c>
      <c r="E70" s="16" t="n">
        <v>0.04</v>
      </c>
      <c r="F70" s="16" t="n">
        <v>0.09</v>
      </c>
      <c r="G70" s="16" t="n">
        <v>0.12</v>
      </c>
      <c r="H70" s="20" t="inlineStr">
        <is>
          <t>[rationale + page]</t>
        </is>
      </c>
    </row>
    <row r="71">
      <c r="B71" t="inlineStr">
        <is>
          <t>Revenue growth Y5</t>
        </is>
      </c>
      <c r="C71" s="23">
        <f>INDEX(E71:G71,Assumptions!$C$5)</f>
        <v/>
      </c>
      <c r="E71" s="16" t="n">
        <v>0.04</v>
      </c>
      <c r="F71" s="16" t="n">
        <v>0.08</v>
      </c>
      <c r="G71" s="16" t="n">
        <v>0.1</v>
      </c>
      <c r="H71" s="20" t="inlineStr">
        <is>
          <t>[rationale + page]</t>
        </is>
      </c>
    </row>
    <row r="72">
      <c r="B72" t="inlineStr">
        <is>
          <t>EBITDA margin Y1-Y5</t>
        </is>
      </c>
      <c r="C72" s="23">
        <f>INDEX(E72:G72,Assumptions!$C$5)</f>
        <v/>
      </c>
      <c r="E72" s="16" t="n">
        <v>0.095</v>
      </c>
      <c r="F72" s="16" t="n">
        <v>0.105</v>
      </c>
      <c r="G72" s="16" t="n">
        <v>0.115</v>
      </c>
      <c r="H72" s="20" t="inlineStr">
        <is>
          <t>EBITDA margin 10.10% / 10.73% / 10.86% FY24-26 (p. 122); peer Ganesha Ecosphere 12.30% / 14.40% / 9.60% (p. 124). Bear sits just below the peer's FY26 trough; Bull assumes a richer food-grade and chemical mix.</t>
        </is>
      </c>
    </row>
    <row r="73">
      <c r="B73" t="inlineStr">
        <is>
          <t>Net working capital % revenue</t>
        </is>
      </c>
      <c r="C73" s="23">
        <f>INDEX(E73:G73,Assumptions!$C$5)</f>
        <v/>
      </c>
      <c r="E73" s="16" t="n">
        <v>0.145</v>
      </c>
      <c r="F73" s="16" t="n">
        <v>0.13</v>
      </c>
      <c r="G73" s="16" t="n">
        <v>0.12</v>
      </c>
      <c r="H73" s="20" t="inlineStr">
        <is>
          <t>Trade NWC (inventory + receivables - payables) 12.7% of FY26 revenue and 14.0% of FY25 (p. 71).</t>
        </is>
      </c>
    </row>
    <row r="74">
      <c r="B74" t="inlineStr">
        <is>
          <t>Terminal ROIC</t>
        </is>
      </c>
      <c r="C74" s="23">
        <f>INDEX(E74:G74,Assumptions!$C$5)</f>
        <v/>
      </c>
      <c r="E74" s="16" t="n">
        <v>0.09</v>
      </c>
      <c r="F74" s="16" t="n">
        <v>0.11</v>
      </c>
      <c r="G74" s="16" t="n">
        <v>0.13</v>
      </c>
      <c r="H74" s="20" t="inlineStr">
        <is>
          <t>ROCE 10.28% FY26, 9.96% FY25, 10.22% FY24 on the issuer's definition (p. 122). Terminal ROIC is set around that range; note it is near or below a typical cost of capital.</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Ganesha Ecosphere Ltd</t>
        </is>
      </c>
      <c r="C5" s="20" t="inlineStr">
        <is>
          <t>Y</t>
        </is>
      </c>
      <c r="D5" s="20" t="inlineStr">
        <is>
          <t>Same business (PET recycling; the only listed peer named, p. 121)</t>
        </is>
      </c>
      <c r="E5" s="20" t="inlineStr">
        <is>
          <t>Consolidated</t>
        </is>
      </c>
      <c r="F5" s="15" t="n">
        <v>997.6</v>
      </c>
      <c r="G5" s="15" t="n">
        <v>2.6391</v>
      </c>
      <c r="H5" s="15" t="n">
        <v>377.241</v>
      </c>
      <c r="I5" s="15" t="n">
        <v>1481.663</v>
      </c>
      <c r="J5" s="15" t="n">
        <v>141.71</v>
      </c>
      <c r="K5" s="15" t="n">
        <v>38.214</v>
      </c>
      <c r="L5" s="15" t="n">
        <v>1254.18</v>
      </c>
      <c r="M5" s="16" t="n">
        <v>0.0109</v>
      </c>
      <c r="N5" s="13">
        <f>IF(F5="","",F5*G5)</f>
        <v/>
      </c>
      <c r="O5" s="13">
        <f>IF(N5="","",N5+H5)</f>
        <v/>
      </c>
      <c r="P5" s="27">
        <f>IF(AND(C5="Y",N(K5)&gt;0),N5/K5,"")</f>
        <v/>
      </c>
      <c r="Q5" s="27">
        <f>IF(AND(C5="Y",N(J5)&gt;0),O5/J5,"")</f>
        <v/>
      </c>
      <c r="R5" s="27">
        <f>IF(AND(C5="Y",N(L5)&gt;0),N5/L5,"")</f>
        <v/>
      </c>
      <c r="S5" s="10">
        <f>IF(N(I5)&gt;0,J5/I5,"")</f>
        <v/>
      </c>
      <c r="T5" s="10">
        <f>IF(N(L5)&gt;0,K5/L5,"")</f>
        <v/>
      </c>
    </row>
    <row r="6">
      <c r="B6" s="20" t="inlineStr"/>
      <c r="C6" s="20" t="inlineStr"/>
      <c r="D6" s="20" t="inlineStr"/>
      <c r="E6" s="20" t="inlineStr"/>
      <c r="F6" s="15" t="n"/>
      <c r="G6" s="15" t="n"/>
      <c r="H6" s="15" t="n"/>
      <c r="I6" s="15" t="n"/>
      <c r="J6" s="15" t="n"/>
      <c r="K6" s="15" t="n"/>
      <c r="L6" s="15" t="n"/>
      <c r="M6" s="16" t="n"/>
      <c r="N6" s="13">
        <f>IF(F6="","",F6*G6)</f>
        <v/>
      </c>
      <c r="O6" s="13">
        <f>IF(N6="","",N6+H6)</f>
        <v/>
      </c>
      <c r="P6" s="27">
        <f>IF(AND(C6="Y",N(K6)&gt;0),N6/K6,"")</f>
        <v/>
      </c>
      <c r="Q6" s="27">
        <f>IF(AND(C6="Y",N(J6)&gt;0),O6/J6,"")</f>
        <v/>
      </c>
      <c r="R6" s="27">
        <f>IF(AND(C6="Y",N(L6)&gt;0),N6/L6,"")</f>
        <v/>
      </c>
      <c r="S6" s="10">
        <f>IF(N(I6)&gt;0,J6/I6,"")</f>
        <v/>
      </c>
      <c r="T6" s="10">
        <f>IF(N(L6)&gt;0,K6/L6,"")</f>
        <v/>
      </c>
    </row>
    <row r="7">
      <c r="B7" s="20" t="inlineStr"/>
      <c r="C7" s="20" t="inlineStr"/>
      <c r="D7" s="20" t="inlineStr"/>
      <c r="E7" s="20" t="inlineStr"/>
      <c r="F7" s="15" t="n"/>
      <c r="G7" s="15" t="n"/>
      <c r="H7" s="15" t="n"/>
      <c r="I7" s="15" t="n"/>
      <c r="J7" s="15" t="n"/>
      <c r="K7" s="15" t="n"/>
      <c r="L7" s="15" t="n"/>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price rests on a turn not yet begun",C7/C8)</f>
        <v/>
      </c>
      <c r="D9" s="27">
        <f>IF(D8&lt;=0,"No multiple: FCF negative - price rests on a turn not yet begun",D7/D8)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no multiple can be stated, and the entire price rests on a turn that has not yet begun.","The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2026-10-07T14:08:07Z</dcterms:created>
  <dcterms:modified xsi:type="dcterms:W3CDTF">2026-10-07T14:08:07Z</dcterms:modified>
</cp:coreProperties>
</file>