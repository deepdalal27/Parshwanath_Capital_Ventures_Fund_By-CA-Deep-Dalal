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Basis" sheetId="2" state="visible" r:id="rId2"/>
    <sheet xmlns:r="http://schemas.openxmlformats.org/officeDocument/2006/relationships" name="Quick Metrics" sheetId="3" state="visible" r:id="rId3"/>
    <sheet xmlns:r="http://schemas.openxmlformats.org/officeDocument/2006/relationships" name="Forensic Checks" sheetId="4" state="visible" r:id="rId4"/>
    <sheet xmlns:r="http://schemas.openxmlformats.org/officeDocument/2006/relationships" name="Work Blocks" sheetId="5" state="visible" r:id="rId5"/>
    <sheet xmlns:r="http://schemas.openxmlformats.org/officeDocument/2006/relationships" name="Data Gaps" sheetId="6" state="visible" r:id="rId6"/>
    <sheet xmlns:r="http://schemas.openxmlformats.org/officeDocument/2006/relationships" name="Scorecard" sheetId="7" state="visible" r:id="rId7"/>
  </sheets>
  <definedNames/>
  <calcPr calcId="124519" fullCalcOnLoad="1"/>
</workbook>
</file>

<file path=xl/styles.xml><?xml version="1.0" encoding="utf-8"?>
<styleSheet xmlns="http://schemas.openxmlformats.org/spreadsheetml/2006/main">
  <numFmts count="4">
    <numFmt numFmtId="164" formatCode="yyyy-mm-dd"/>
    <numFmt numFmtId="165" formatCode="dd-mmm-yyyy"/>
    <numFmt numFmtId="166" formatCode="0.0"/>
    <numFmt numFmtId="167"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b val="1"/>
      <color rgb="001F3864"/>
      <sz val="11"/>
    </font>
    <font>
      <name val="Calibri"/>
      <color rgb="00000000"/>
      <sz val="10"/>
    </font>
    <font>
      <name val="Calibri"/>
      <color rgb="000000FF"/>
      <sz val="10"/>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5" fillId="0" borderId="0" pivotButton="0" quotePrefix="0" xfId="0"/>
    <xf numFmtId="0" fontId="6" fillId="2" borderId="1" pivotButton="0" quotePrefix="0" xfId="0"/>
    <xf numFmtId="0" fontId="2" fillId="0" borderId="0" pivotButton="0" quotePrefix="0" xfId="0"/>
    <xf numFmtId="0" fontId="6" fillId="3" borderId="1" pivotButton="0" quotePrefix="0" xfId="0"/>
    <xf numFmtId="165" fontId="6" fillId="2" borderId="1" pivotButton="0" quotePrefix="0" xfId="0"/>
    <xf numFmtId="165" fontId="5" fillId="0" borderId="1" pivotButton="0" quotePrefix="0" xfId="0"/>
    <xf numFmtId="3" fontId="5" fillId="0" borderId="1" pivotButton="0" quotePrefix="0" xfId="0"/>
    <xf numFmtId="0" fontId="5" fillId="0" borderId="1" pivotButton="0" quotePrefix="0" xfId="0"/>
    <xf numFmtId="0" fontId="2" fillId="0" borderId="0" applyAlignment="1" pivotButton="0" quotePrefix="0" xfId="0">
      <alignment vertical="top"/>
    </xf>
    <xf numFmtId="0" fontId="7" fillId="4" borderId="1" applyAlignment="1" pivotButton="0" quotePrefix="0" xfId="0">
      <alignment vertical="center" wrapText="1"/>
    </xf>
    <xf numFmtId="4" fontId="6" fillId="2" borderId="1" pivotButton="0" quotePrefix="0" xfId="0"/>
    <xf numFmtId="10" fontId="6" fillId="2" borderId="1" pivotButton="0" quotePrefix="0" xfId="0"/>
    <xf numFmtId="10" fontId="5" fillId="0" borderId="1" pivotButton="0" quotePrefix="0" xfId="0"/>
    <xf numFmtId="4" fontId="5" fillId="0" borderId="1" pivotButton="0" quotePrefix="0" xfId="0"/>
    <xf numFmtId="166" fontId="5" fillId="0" borderId="1" pivotButton="0" quotePrefix="0" xfId="0"/>
    <xf numFmtId="166" fontId="6" fillId="2" borderId="1" pivotButton="0" quotePrefix="0" xfId="0"/>
    <xf numFmtId="2" fontId="5" fillId="0" borderId="1" pivotButton="0" quotePrefix="0" xfId="0"/>
    <xf numFmtId="2" fontId="6" fillId="2" borderId="1" pivotButton="0" quotePrefix="0" xfId="0"/>
    <xf numFmtId="167" fontId="5" fillId="0" borderId="1" pivotButton="0" quotePrefix="0" xfId="0"/>
    <xf numFmtId="167" fontId="6" fillId="2" borderId="1" pivotButton="0" quotePrefix="0" xfId="0"/>
    <xf numFmtId="0" fontId="0" fillId="0" borderId="0" applyAlignment="1" pivotButton="0" quotePrefix="0" xfId="0">
      <alignment vertical="top" wrapText="1"/>
    </xf>
    <xf numFmtId="0" fontId="6" fillId="2" borderId="1" applyAlignment="1" pivotButton="0" quotePrefix="0" xfId="0">
      <alignment vertical="top" wrapText="1"/>
    </xf>
    <xf numFmtId="0" fontId="3" fillId="0" borderId="1" pivotButton="0" quotePrefix="0" xfId="0"/>
    <xf numFmtId="0" fontId="8" fillId="0" borderId="1" pivotButton="0" quotePrefix="0" xfId="0"/>
    <xf numFmtId="0" fontId="5" fillId="3"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8" defaultRowHeight="15"/>
  <cols>
    <col width="110" customWidth="1" min="1" max="1"/>
  </cols>
  <sheetData>
    <row r="1" ht="24" customHeight="1">
      <c r="A1" s="1" t="inlineStr">
        <is>
          <t>DRHP / RHP Screening Checklist</t>
        </is>
      </c>
    </row>
    <row r="2" ht="20" customHeight="1">
      <c r="A2" s="2" t="inlineStr">
        <is>
          <t>Parshwanath Capital Ventures Fund | SEBI Registered CAT III AIF | IN/AIF3/25-26/2108 | Fund Manager: CA Deep Dalal | Sponsor: Jignesh Shah</t>
        </is>
      </c>
    </row>
    <row r="4">
      <c r="A4" t="inlineStr">
        <is>
          <t>A DRHP is a screen; an RHP is a decision. Record the stage on 'Basis' first.</t>
        </is>
      </c>
    </row>
    <row r="5">
      <c r="A5" t="inlineStr">
        <is>
          <t>Order: Basis &gt; Quick Metrics (auto-flags) &gt; Forensic Checks &gt; Work Blocks &gt; Data Gaps &gt; Scorecard.</t>
        </is>
      </c>
    </row>
    <row r="6">
      <c r="A6" t="inlineStr">
        <is>
          <t>Two rules: never invent a figure (leave blank, log it in Data Gaps); never draft disclaimer text.</t>
        </is>
      </c>
    </row>
    <row r="7">
      <c r="A7" t="inlineStr">
        <is>
          <t>Every figure as restated, cited to the printed page. Watch for three page-numbering blocks.</t>
        </is>
      </c>
    </row>
    <row r="8">
      <c r="A8" t="inlineStr">
        <is>
          <t>If the restated-financials annexure is image-only, OCR to locate but read the image to cite.</t>
        </is>
      </c>
    </row>
    <row r="9">
      <c r="A9" t="inlineStr">
        <is>
          <t>Thresholds in grey cells on 'Quick Metrics' are house defaults and editable.</t>
        </is>
      </c>
    </row>
    <row r="10">
      <c r="A10" t="inlineStr"/>
    </row>
    <row r="11">
      <c r="A11" t="inlineStr">
        <is>
          <t>Colours: blue = input | black = formula | yellow = key cell.</t>
        </is>
      </c>
    </row>
    <row r="12">
      <c r="A12" s="3" t="inlineStr">
        <is>
          <t>ALL SAMPLE NUMBERS ARE ILLUSTRATIVE AND MUST BE REPLACED.</t>
        </is>
      </c>
    </row>
    <row r="13">
      <c r="A13" t="inlineStr"/>
    </row>
    <row r="14">
      <c r="A14"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6">
      <c r="A16" s="4" t="inlineStr">
        <is>
          <t>Disclaimer and disclosures</t>
        </is>
      </c>
    </row>
    <row r="17" ht="45" customHeight="1">
      <c r="A17"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18" ht="60" customHeight="1">
      <c r="A18"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19" ht="45" customHeight="1">
      <c r="A19"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0" ht="75" customHeight="1">
      <c r="A20"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1" ht="45" customHeight="1">
      <c r="A21"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2" ht="45" customHeight="1">
      <c r="A22"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3" ht="15" customHeight="1">
      <c r="A23" s="5" t="inlineStr">
        <is>
          <t>Investments in securities market are subject to market risks. Read all the related documents carefully before investing.</t>
        </is>
      </c>
    </row>
    <row r="24" ht="15" customHeight="1">
      <c r="A24" s="5" t="inlineStr">
        <is>
          <t>Registration granted by SEBI in no way guarantees performance of the Fund or its Manager or provides any assurance of returns to investors.</t>
        </is>
      </c>
    </row>
    <row r="25" ht="15" customHeight="1">
      <c r="A25"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2" customWidth="1" min="1" max="1"/>
    <col width="44" customWidth="1" min="2" max="2"/>
    <col width="44" customWidth="1" min="3" max="3"/>
    <col width="8" customWidth="1" min="4" max="4"/>
    <col width="50" customWidth="1" min="5" max="5"/>
  </cols>
  <sheetData>
    <row r="1" ht="24" customHeight="1">
      <c r="A1" s="1" t="inlineStr">
        <is>
          <t>Basis and staleness banner</t>
        </is>
      </c>
    </row>
    <row r="2" ht="20" customHeight="1">
      <c r="A2" s="2" t="inlineStr">
        <is>
          <t>Parshwanath Capital Ventures Fund | SEBI Registered CAT III AIF | IN/AIF3/25-26/2108 | Fund Manager: CA Deep Dalal | Sponsor: Jignesh Shah</t>
        </is>
      </c>
    </row>
    <row r="4">
      <c r="B4" s="4" t="inlineStr">
        <is>
          <t>Document</t>
        </is>
      </c>
    </row>
    <row r="5">
      <c r="B5" s="6" t="inlineStr">
        <is>
          <t>Issuer</t>
        </is>
      </c>
      <c r="C5" s="7" t="inlineStr">
        <is>
          <t>Illustrative Co. Ltd (REPLACE)</t>
        </is>
      </c>
      <c r="D5" s="8" t="inlineStr"/>
    </row>
    <row r="6">
      <c r="B6" s="6" t="inlineStr">
        <is>
          <t>Platform</t>
        </is>
      </c>
      <c r="C6" s="7" t="inlineStr">
        <is>
          <t>Mainboard</t>
        </is>
      </c>
      <c r="D6" s="8" t="inlineStr"/>
    </row>
    <row r="7">
      <c r="B7" s="6" t="inlineStr">
        <is>
          <t>Stage</t>
        </is>
      </c>
      <c r="C7" s="9" t="inlineStr">
        <is>
          <t>DRHP</t>
        </is>
      </c>
      <c r="D7" s="8" t="inlineStr"/>
    </row>
    <row r="8">
      <c r="B8" s="6" t="inlineStr">
        <is>
          <t>Document date</t>
        </is>
      </c>
      <c r="C8" s="10" t="n">
        <v>46254</v>
      </c>
      <c r="D8" s="8" t="inlineStr"/>
    </row>
    <row r="9">
      <c r="B9" s="6" t="inlineStr">
        <is>
          <t>Audited financials up to</t>
        </is>
      </c>
      <c r="C9" s="10" t="n">
        <v>46112</v>
      </c>
      <c r="D9" s="8" t="inlineStr"/>
    </row>
    <row r="10">
      <c r="B10" s="6" t="inlineStr">
        <is>
          <t>Today</t>
        </is>
      </c>
      <c r="C10" s="11">
        <f>TODAY()</f>
        <v/>
      </c>
      <c r="D10" s="8" t="inlineStr"/>
    </row>
    <row r="11">
      <c r="B11" s="6" t="inlineStr">
        <is>
          <t>Staleness (days since audited period end)</t>
        </is>
      </c>
      <c r="C11" s="12">
        <f>'Basis'!$C$10-'Basis'!$C$9</f>
        <v/>
      </c>
      <c r="D11" s="8" t="inlineStr"/>
    </row>
    <row r="12">
      <c r="B12" s="6" t="inlineStr">
        <is>
          <t>Staleness flag</t>
        </is>
      </c>
      <c r="C12" s="13">
        <f>IF('Basis'!$C$11&gt;365,"RED: audited record over a year old - commit no capital until the RHP is read",IF('Basis'!$C$11&gt;180,"AMBER: RHP must carry financials no more than six months stale","OK"))</f>
        <v/>
      </c>
      <c r="D12" s="8" t="inlineStr"/>
    </row>
    <row r="13">
      <c r="B13" s="6" t="inlineStr">
        <is>
          <t>Price band announced?</t>
        </is>
      </c>
      <c r="C13" s="7" t="inlineStr">
        <is>
          <t>No</t>
        </is>
      </c>
      <c r="D13" s="8" t="inlineStr"/>
    </row>
    <row r="14">
      <c r="B14" s="6" t="inlineStr">
        <is>
          <t>Book running lead manager(s)</t>
        </is>
      </c>
      <c r="C14" s="7" t="inlineStr">
        <is>
          <t>[name]</t>
        </is>
      </c>
      <c r="D14" s="8" t="inlineStr"/>
      <c r="E14" s="14" t="inlineStr">
        <is>
          <t>Compile BRLM track record (CIR/MIRSD/1/2012)</t>
        </is>
      </c>
    </row>
    <row r="15">
      <c r="B15" s="6" t="inlineStr">
        <is>
          <t>Figures from outside the offer document</t>
        </is>
      </c>
      <c r="C15" s="7" t="inlineStr">
        <is>
          <t>[source + date, or 'none']</t>
        </is>
      </c>
      <c r="D15" s="8" t="inlineStr"/>
    </row>
    <row r="17">
      <c r="B17" s="4" t="inlineStr">
        <is>
          <t>Trade being underwritten</t>
        </is>
      </c>
    </row>
    <row r="18">
      <c r="B18" s="6" t="inlineStr">
        <is>
          <t>Bid category</t>
        </is>
      </c>
      <c r="C18" s="7" t="inlineStr">
        <is>
          <t>Anchor</t>
        </is>
      </c>
      <c r="D18" s="8" t="inlineStr"/>
    </row>
    <row r="19">
      <c r="B19" s="6" t="inlineStr">
        <is>
          <t>Exit route underwritten</t>
        </is>
      </c>
      <c r="C19" s="9" t="inlineStr">
        <is>
          <t>2-3 year hold (assumed)</t>
        </is>
      </c>
      <c r="D19" s="8" t="inlineStr"/>
      <c r="E19" s="14" t="inlineStr">
        <is>
          <t>Ask per issuer; default is the 2-3 year hold</t>
        </is>
      </c>
    </row>
    <row r="20">
      <c r="B20" s="6" t="inlineStr">
        <is>
          <t>Bid category vs exit route</t>
        </is>
      </c>
      <c r="C20" s="13">
        <f>IF(AND('Basis'!$C$18="Anchor",'Basis'!$C$19="Listing day"),"INCONSISTENT: anchor allotment is locked in 30/90 days - cannot exit on listing day","OK")</f>
        <v/>
      </c>
      <c r="D20" s="8" t="inlineStr"/>
    </row>
    <row r="21">
      <c r="B21" s="6" t="inlineStr">
        <is>
          <t>Operative valuation tool</t>
        </is>
      </c>
      <c r="C21" s="13">
        <f>IF('Basis'!$C$19="Listing day","Listing-day framework (DCF used only as a floor test)","DCF governs (intrinsic value over the hold)")</f>
        <v/>
      </c>
      <c r="D21" s="8" t="inlineStr"/>
    </row>
  </sheetData>
  <conditionalFormatting sqref="C1:C4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dataValidations count="5">
    <dataValidation sqref="C6" showDropDown="0" showInputMessage="0" showErrorMessage="0" allowBlank="1" type="list">
      <formula1>"Mainboard,SME"</formula1>
    </dataValidation>
    <dataValidation sqref="C7" showDropDown="0" showInputMessage="0" showErrorMessage="0" allowBlank="1" type="list">
      <formula1>"DRHP,RHP,Addendum,Prospectus"</formula1>
    </dataValidation>
    <dataValidation sqref="C13" showDropDown="0" showInputMessage="0" showErrorMessage="0" allowBlank="1" type="list">
      <formula1>"Yes,No"</formula1>
    </dataValidation>
    <dataValidation sqref="C18" showDropDown="0" showInputMessage="0" showErrorMessage="0" allowBlank="1" type="list">
      <formula1>"Anchor,QIB (non-anchor),NII"</formula1>
    </dataValidation>
    <dataValidation sqref="C19" showDropDown="0" showInputMessage="0" showErrorMessage="0" allowBlank="1" type="list">
      <formula1>"2-3 year hold (assumed),2-3 year hold (confirmed),Lock-in expiry (30/90 days),Listing day"</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55"/>
  <sheetViews>
    <sheetView showGridLines="0" workbookViewId="0">
      <selection activeCell="A1" sqref="A1"/>
    </sheetView>
  </sheetViews>
  <sheetFormatPr baseColWidth="8" defaultRowHeight="15"/>
  <cols>
    <col width="2" customWidth="1" min="1" max="1"/>
    <col width="50" customWidth="1" min="2" max="2"/>
    <col width="14" customWidth="1" min="3" max="3"/>
    <col width="14" customWidth="1" min="4" max="4"/>
    <col width="16" customWidth="1" min="5" max="5"/>
    <col width="22" customWidth="1" min="6" max="6"/>
    <col width="14" customWidth="1" min="7" max="7"/>
  </cols>
  <sheetData>
    <row r="1" ht="24" customHeight="1">
      <c r="A1" s="1" t="inlineStr">
        <is>
          <t>Quick forensic metrics (Rs cr) - restated, as reported; stub never annualised</t>
        </is>
      </c>
    </row>
    <row r="2" ht="20" customHeight="1">
      <c r="A2" s="2" t="inlineStr">
        <is>
          <t>Parshwanath Capital Ventures Fund | SEBI Registered CAT III AIF | IN/AIF3/25-26/2108 | Fund Manager: CA Deep Dalal | Sponsor: Jignesh Shah</t>
        </is>
      </c>
    </row>
    <row r="4">
      <c r="B4" s="15" t="inlineStr">
        <is>
          <t>Line item</t>
        </is>
      </c>
      <c r="C4" s="15" t="inlineStr">
        <is>
          <t>FY-3</t>
        </is>
      </c>
      <c r="D4" s="15" t="inlineStr">
        <is>
          <t>FY-2</t>
        </is>
      </c>
      <c r="E4" s="15" t="inlineStr">
        <is>
          <t>FY-1 (latest)</t>
        </is>
      </c>
      <c r="F4" s="15" t="inlineStr">
        <is>
          <t>Stub (as reported)</t>
        </is>
      </c>
      <c r="G4" s="15" t="inlineStr">
        <is>
          <t>Page cite</t>
        </is>
      </c>
    </row>
    <row r="5">
      <c r="B5" t="inlineStr">
        <is>
          <t>Revenue from operations</t>
        </is>
      </c>
      <c r="C5" s="16" t="n">
        <v>620</v>
      </c>
      <c r="D5" s="16" t="n">
        <v>850</v>
      </c>
      <c r="E5" s="16" t="n">
        <v>1000</v>
      </c>
      <c r="F5" s="16" t="n">
        <v>540</v>
      </c>
      <c r="G5" s="7" t="inlineStr"/>
    </row>
    <row r="6">
      <c r="B6" t="inlineStr">
        <is>
          <t>Other income</t>
        </is>
      </c>
      <c r="C6" s="16" t="n">
        <v>8</v>
      </c>
      <c r="D6" s="16" t="n">
        <v>10</v>
      </c>
      <c r="E6" s="16" t="n">
        <v>22</v>
      </c>
      <c r="F6" s="16" t="n">
        <v>6</v>
      </c>
      <c r="G6" s="7" t="inlineStr"/>
    </row>
    <row r="7">
      <c r="B7" t="inlineStr">
        <is>
          <t>Profit before tax</t>
        </is>
      </c>
      <c r="C7" s="16" t="n">
        <v>60</v>
      </c>
      <c r="D7" s="16" t="n">
        <v>85</v>
      </c>
      <c r="E7" s="16" t="n">
        <v>108</v>
      </c>
      <c r="F7" s="16" t="n">
        <v>58</v>
      </c>
      <c r="G7" s="7" t="inlineStr"/>
    </row>
    <row r="8">
      <c r="B8" t="inlineStr">
        <is>
          <t>Current tax</t>
        </is>
      </c>
      <c r="C8" s="16" t="n">
        <v>14</v>
      </c>
      <c r="D8" s="16" t="n">
        <v>20</v>
      </c>
      <c r="E8" s="16" t="n">
        <v>24</v>
      </c>
      <c r="F8" s="16" t="n">
        <v>13</v>
      </c>
      <c r="G8" s="7" t="inlineStr"/>
    </row>
    <row r="9">
      <c r="B9" t="inlineStr">
        <is>
          <t>Deferred tax</t>
        </is>
      </c>
      <c r="C9" s="16" t="n">
        <v>1</v>
      </c>
      <c r="D9" s="16" t="n">
        <v>2</v>
      </c>
      <c r="E9" s="16" t="n">
        <v>4</v>
      </c>
      <c r="F9" s="16" t="n">
        <v>2</v>
      </c>
      <c r="G9" s="7" t="inlineStr"/>
    </row>
    <row r="10">
      <c r="B10" t="inlineStr">
        <is>
          <t>PAT</t>
        </is>
      </c>
      <c r="C10" s="16" t="n">
        <v>45</v>
      </c>
      <c r="D10" s="16" t="n">
        <v>63</v>
      </c>
      <c r="E10" s="16" t="n">
        <v>80</v>
      </c>
      <c r="F10" s="16" t="n">
        <v>43</v>
      </c>
      <c r="G10" s="7" t="inlineStr"/>
    </row>
    <row r="11">
      <c r="B11" t="inlineStr">
        <is>
          <t>Cash flow from operations</t>
        </is>
      </c>
      <c r="C11" s="16" t="n">
        <v>30</v>
      </c>
      <c r="D11" s="16" t="n">
        <v>28</v>
      </c>
      <c r="E11" s="16" t="n">
        <v>52</v>
      </c>
      <c r="F11" s="16" t="n">
        <v>15</v>
      </c>
      <c r="G11" s="7" t="inlineStr"/>
    </row>
    <row r="12">
      <c r="B12" t="inlineStr">
        <is>
          <t>Related-party sales</t>
        </is>
      </c>
      <c r="C12" s="16" t="n">
        <v>12</v>
      </c>
      <c r="D12" s="16" t="n">
        <v>30</v>
      </c>
      <c r="E12" s="16" t="n">
        <v>55</v>
      </c>
      <c r="F12" s="16" t="n">
        <v>20</v>
      </c>
      <c r="G12" s="7" t="inlineStr"/>
    </row>
    <row r="13">
      <c r="B13" t="inlineStr">
        <is>
          <t>Related-party purchases (incl. capex)</t>
        </is>
      </c>
      <c r="C13" s="16" t="n">
        <v>5</v>
      </c>
      <c r="D13" s="16" t="n">
        <v>6</v>
      </c>
      <c r="E13" s="16" t="n">
        <v>9</v>
      </c>
      <c r="F13" s="16" t="n">
        <v>4</v>
      </c>
      <c r="G13" s="7" t="inlineStr"/>
    </row>
    <row r="14">
      <c r="B14" t="inlineStr">
        <is>
          <t>Net worth</t>
        </is>
      </c>
      <c r="C14" s="16" t="n">
        <v>300</v>
      </c>
      <c r="D14" s="16" t="n">
        <v>360</v>
      </c>
      <c r="E14" s="16" t="n">
        <v>450</v>
      </c>
      <c r="F14" s="16" t="n">
        <v>490</v>
      </c>
      <c r="G14" s="7" t="inlineStr"/>
    </row>
    <row r="15">
      <c r="B15" t="inlineStr">
        <is>
          <t>Trade receivables</t>
        </is>
      </c>
      <c r="C15" s="16" t="n">
        <v>110</v>
      </c>
      <c r="D15" s="16" t="n">
        <v>160</v>
      </c>
      <c r="E15" s="16" t="n">
        <v>210</v>
      </c>
      <c r="F15" s="16" t="n">
        <v>230</v>
      </c>
      <c r="G15" s="7" t="inlineStr"/>
    </row>
    <row r="16">
      <c r="B16" t="inlineStr">
        <is>
          <t>Inventory</t>
        </is>
      </c>
      <c r="C16" s="16" t="n">
        <v>90</v>
      </c>
      <c r="D16" s="16" t="n">
        <v>120</v>
      </c>
      <c r="E16" s="16" t="n">
        <v>140</v>
      </c>
      <c r="F16" s="16" t="n">
        <v>150</v>
      </c>
      <c r="G16" s="7" t="inlineStr"/>
    </row>
    <row r="17">
      <c r="B17" t="inlineStr">
        <is>
          <t>Trade payables</t>
        </is>
      </c>
      <c r="C17" s="16" t="n">
        <v>70</v>
      </c>
      <c r="D17" s="16" t="n">
        <v>115</v>
      </c>
      <c r="E17" s="16" t="n">
        <v>150</v>
      </c>
      <c r="F17" s="16" t="n">
        <v>160</v>
      </c>
      <c r="G17" s="7" t="inlineStr"/>
    </row>
    <row r="18">
      <c r="B18" t="inlineStr">
        <is>
          <t>Contingent liabilities</t>
        </is>
      </c>
      <c r="C18" s="16" t="n">
        <v>20</v>
      </c>
      <c r="D18" s="16" t="n">
        <v>35</v>
      </c>
      <c r="E18" s="16" t="n">
        <v>60</v>
      </c>
      <c r="F18" s="16" t="n">
        <v>60</v>
      </c>
      <c r="G18" s="7" t="inlineStr"/>
    </row>
    <row r="19">
      <c r="B19" t="inlineStr">
        <is>
          <t>Goodwill + intangibles</t>
        </is>
      </c>
      <c r="C19" s="16" t="n">
        <v>0</v>
      </c>
      <c r="D19" s="16" t="n">
        <v>0</v>
      </c>
      <c r="E19" s="16" t="n">
        <v>12</v>
      </c>
      <c r="F19" s="16" t="n">
        <v>12</v>
      </c>
      <c r="G19" s="7" t="inlineStr"/>
    </row>
    <row r="20">
      <c r="B20" t="inlineStr">
        <is>
          <t>Revaluation reserve</t>
        </is>
      </c>
      <c r="C20" s="16" t="n">
        <v>0</v>
      </c>
      <c r="D20" s="16" t="n">
        <v>0</v>
      </c>
      <c r="E20" s="16" t="n">
        <v>0</v>
      </c>
      <c r="F20" s="16" t="n">
        <v>0</v>
      </c>
      <c r="G20" s="7" t="inlineStr"/>
    </row>
    <row r="22">
      <c r="B22" s="3" t="inlineStr">
        <is>
          <t>Single-period inputs (latest)</t>
        </is>
      </c>
    </row>
    <row r="23">
      <c r="B23" t="inlineStr">
        <is>
          <t>Top customer % of revenue</t>
        </is>
      </c>
      <c r="E23" s="17" t="n">
        <v>0.22</v>
      </c>
    </row>
    <row r="24">
      <c r="B24" t="inlineStr">
        <is>
          <t>Top-10 customers % of revenue</t>
        </is>
      </c>
      <c r="E24" s="17" t="n">
        <v>0.68</v>
      </c>
    </row>
    <row r="25">
      <c r="B25" t="inlineStr">
        <is>
          <t>Top supplier % of purchases</t>
        </is>
      </c>
      <c r="E25" s="17" t="n">
        <v>0.35</v>
      </c>
    </row>
    <row r="26">
      <c r="B26" t="inlineStr">
        <is>
          <t>Largest state/country % of revenue</t>
        </is>
      </c>
      <c r="E26" s="17" t="n">
        <v>0.55</v>
      </c>
    </row>
    <row r="27">
      <c r="B27" t="inlineStr">
        <is>
          <t>Fresh issue net of expenses</t>
        </is>
      </c>
      <c r="E27" s="16" t="n">
        <v>190</v>
      </c>
    </row>
    <row r="28">
      <c r="B28" t="inlineStr">
        <is>
          <t>Promoter weighted avg cost of acquisition (Rs)</t>
        </is>
      </c>
      <c r="E28" s="16" t="n">
        <v>12</v>
      </c>
    </row>
    <row r="29">
      <c r="B29" t="inlineStr">
        <is>
          <t>Offer price / cap (Rs)</t>
        </is>
      </c>
      <c r="E29" s="16" t="n">
        <v>190</v>
      </c>
    </row>
    <row r="31">
      <c r="B31" s="3" t="inlineStr">
        <is>
          <t>Auto metrics</t>
        </is>
      </c>
    </row>
    <row r="32">
      <c r="B32" s="15" t="inlineStr">
        <is>
          <t>Metric</t>
        </is>
      </c>
      <c r="C32" s="15" t="inlineStr">
        <is>
          <t>Value</t>
        </is>
      </c>
      <c r="D32" s="15" t="inlineStr">
        <is>
          <t>Threshold</t>
        </is>
      </c>
      <c r="E32" s="15" t="inlineStr">
        <is>
          <t>Flag</t>
        </is>
      </c>
      <c r="F32" s="15" t="inlineStr">
        <is>
          <t>Forensic check / block</t>
        </is>
      </c>
    </row>
    <row r="33">
      <c r="B33" t="inlineStr">
        <is>
          <t>Cumulative CFO / cumulative PAT (3 yrs)</t>
        </is>
      </c>
      <c r="C33" s="18">
        <f>IF(OR(ISBLANK($E$10),ISBLANK($E$11)),"",SUM($C$11:$E$11)/SUM($C$10:$E$10))</f>
        <v/>
      </c>
      <c r="D33" s="17" t="n">
        <v>0.7</v>
      </c>
      <c r="E33" s="13">
        <f>IF(NOT(ISNUMBER(C33)),"-",IF(C33&lt;D33,"WATCH","OK"))</f>
        <v/>
      </c>
      <c r="F33" t="inlineStr">
        <is>
          <t>Check 2 / Block 1</t>
        </is>
      </c>
    </row>
    <row r="34">
      <c r="B34" t="inlineStr">
        <is>
          <t>Cumulative cash tax rate (current tax / PBT)</t>
        </is>
      </c>
      <c r="C34" s="18">
        <f>IF(OR(ISBLANK($E$7),ISBLANK($E$8)),"",SUM($C$8:$E$8)/SUM($C$7:$E$7))</f>
        <v/>
      </c>
      <c r="D34" s="17" t="n">
        <v>0.15</v>
      </c>
      <c r="E34" s="13">
        <f>IF(NOT(ISNUMBER(C34)),"-",IF(C34&lt;D34,"WATCH","OK"))</f>
        <v/>
      </c>
      <c r="F34" t="inlineStr">
        <is>
          <t>Check 3</t>
        </is>
      </c>
    </row>
    <row r="35">
      <c r="B35" t="inlineStr">
        <is>
          <t>Deferred tax share of total tax (latest)</t>
        </is>
      </c>
      <c r="C35" s="18">
        <f>IF(OR(ISBLANK($E$8),ISBLANK($E$9)),"",$E$9/($E$8+$E$9))</f>
        <v/>
      </c>
      <c r="D35" s="17" t="n">
        <v>0.5</v>
      </c>
      <c r="E35" s="13">
        <f>IF(NOT(ISNUMBER(C35)),"-",IF(C35&gt;D35,"WATCH","OK"))</f>
        <v/>
      </c>
      <c r="F35" t="inlineStr">
        <is>
          <t>Check 3</t>
        </is>
      </c>
    </row>
    <row r="36">
      <c r="B36" t="inlineStr">
        <is>
          <t>Other income % of PBT (latest)</t>
        </is>
      </c>
      <c r="C36" s="18">
        <f>IF(OR(ISBLANK($E$6),ISBLANK($E$7)),"",$E$6/$E$7)</f>
        <v/>
      </c>
      <c r="D36" s="17" t="n">
        <v>0.15</v>
      </c>
      <c r="E36" s="13">
        <f>IF(NOT(ISNUMBER(C36)),"-",IF(C36&gt;D36,"WATCH","OK"))</f>
        <v/>
      </c>
      <c r="F36" t="inlineStr">
        <is>
          <t>Block 1</t>
        </is>
      </c>
    </row>
    <row r="37">
      <c r="B37" t="inlineStr">
        <is>
          <t>RPT sales % of revenue (latest)</t>
        </is>
      </c>
      <c r="C37" s="18">
        <f>IF(OR(ISBLANK($E$12),ISBLANK($E$5)),"",$E$12/$E$5)</f>
        <v/>
      </c>
      <c r="D37" s="17" t="n">
        <v>0.02</v>
      </c>
      <c r="E37" s="13">
        <f>IF(NOT(ISNUMBER(C37)),"-",IF(C37&gt;D37,"WATCH","OK"))</f>
        <v/>
      </c>
      <c r="F37" t="inlineStr">
        <is>
          <t>Block 9 (2% flag)</t>
        </is>
      </c>
    </row>
    <row r="38">
      <c r="B38" t="inlineStr">
        <is>
          <t>RPT purchases % of net worth (latest)</t>
        </is>
      </c>
      <c r="C38" s="18">
        <f>IF(OR(ISBLANK($E$13),ISBLANK($E$14)),"",$E$13/$E$14)</f>
        <v/>
      </c>
      <c r="D38" s="17" t="n">
        <v>0.02</v>
      </c>
      <c r="E38" s="13">
        <f>IF(NOT(ISNUMBER(C38)),"-",IF(C38&gt;D38,"WATCH","OK"))</f>
        <v/>
      </c>
      <c r="F38" t="inlineStr">
        <is>
          <t>Check 4 / Block 9</t>
        </is>
      </c>
    </row>
    <row r="39">
      <c r="B39" t="inlineStr">
        <is>
          <t>RPT share of revenue growth (FY-2 to latest)</t>
        </is>
      </c>
      <c r="C39" s="18">
        <f>IF(OR(ISBLANK($E$12),ISBLANK($E$5)),"",IFERROR(($E$12-$D$12)/($E$5-$D$5),""))</f>
        <v/>
      </c>
      <c r="D39" s="17" t="n">
        <v>0.1</v>
      </c>
      <c r="E39" s="13">
        <f>IF(NOT(ISNUMBER(C39)),"-",IF(C39&gt;D39,"WATCH","OK"))</f>
        <v/>
      </c>
      <c r="F39" t="inlineStr">
        <is>
          <t>Block 4</t>
        </is>
      </c>
    </row>
    <row r="40">
      <c r="B40" t="inlineStr">
        <is>
          <t>Top customer concentration</t>
        </is>
      </c>
      <c r="C40" s="18">
        <f>IF(OR(ISBLANK($E$23)),"",$E$23)</f>
        <v/>
      </c>
      <c r="D40" s="17" t="n">
        <v>0.5</v>
      </c>
      <c r="E40" s="13">
        <f>IF(NOT(ISNUMBER(C40)),"-",IF(C40&gt;D40,"WATCH","OK"))</f>
        <v/>
      </c>
      <c r="F40" t="inlineStr">
        <is>
          <t>Check 8</t>
        </is>
      </c>
    </row>
    <row r="41">
      <c r="B41" t="inlineStr">
        <is>
          <t>Top-10 customer concentration</t>
        </is>
      </c>
      <c r="C41" s="18">
        <f>IF(OR(ISBLANK($E$24)),"",$E$24)</f>
        <v/>
      </c>
      <c r="D41" s="17" t="n">
        <v>0.8</v>
      </c>
      <c r="E41" s="13">
        <f>IF(NOT(ISNUMBER(C41)),"-",IF(C41&gt;D41,"WATCH","OK"))</f>
        <v/>
      </c>
      <c r="F41" t="inlineStr">
        <is>
          <t>Check 8</t>
        </is>
      </c>
    </row>
    <row r="42">
      <c r="B42" t="inlineStr">
        <is>
          <t>Top supplier concentration</t>
        </is>
      </c>
      <c r="C42" s="18">
        <f>IF(OR(ISBLANK($E$25)),"",$E$25)</f>
        <v/>
      </c>
      <c r="D42" s="17" t="n">
        <v>0.5</v>
      </c>
      <c r="E42" s="13">
        <f>IF(NOT(ISNUMBER(C42)),"-",IF(C42&gt;D42,"WATCH","OK"))</f>
        <v/>
      </c>
      <c r="F42" t="inlineStr">
        <is>
          <t>Check 8 (supply side)</t>
        </is>
      </c>
    </row>
    <row r="43">
      <c r="B43" t="inlineStr">
        <is>
          <t>Geographic concentration</t>
        </is>
      </c>
      <c r="C43" s="18">
        <f>IF(OR(ISBLANK($E$26)),"",$E$26)</f>
        <v/>
      </c>
      <c r="D43" s="17" t="n">
        <v>0.8</v>
      </c>
      <c r="E43" s="13">
        <f>IF(NOT(ISNUMBER(C43)),"-",IF(C43&gt;D43,"WATCH","OK"))</f>
        <v/>
      </c>
      <c r="F43" t="inlineStr">
        <is>
          <t>Check 8</t>
        </is>
      </c>
    </row>
    <row r="44">
      <c r="B44" t="inlineStr">
        <is>
          <t>Contingent liabilities / net worth</t>
        </is>
      </c>
      <c r="C44" s="18">
        <f>IF(OR(ISBLANK($E$14),ISBLANK($E$18)),"",$E$18/$E$14)</f>
        <v/>
      </c>
      <c r="D44" s="17" t="n">
        <v>0.25</v>
      </c>
      <c r="E44" s="13">
        <f>IF(NOT(ISNUMBER(C44)),"-",IF(C44&gt;D44,"WATCH","OK"))</f>
        <v/>
      </c>
      <c r="F44" t="inlineStr">
        <is>
          <t>Check 9</t>
        </is>
      </c>
    </row>
    <row r="45">
      <c r="B45" t="inlineStr">
        <is>
          <t>Goodwill + intangibles / net worth</t>
        </is>
      </c>
      <c r="C45" s="18">
        <f>IF(OR(ISBLANK($E$14),ISBLANK($E$19)),"",$E$19/$E$14)</f>
        <v/>
      </c>
      <c r="D45" s="17" t="n">
        <v>0.3</v>
      </c>
      <c r="E45" s="13">
        <f>IF(NOT(ISNUMBER(C45)),"-",IF(C45&gt;D45,"WATCH","OK"))</f>
        <v/>
      </c>
      <c r="F45" t="inlineStr">
        <is>
          <t>Check 7</t>
        </is>
      </c>
    </row>
    <row r="46">
      <c r="B46" t="inlineStr">
        <is>
          <t>Revaluation reserve (any non-zero fails)</t>
        </is>
      </c>
      <c r="C46" s="19">
        <f>IF(OR(ISBLANK($E$20)),"",$E$20)</f>
        <v/>
      </c>
      <c r="D46" s="16" t="n">
        <v>0</v>
      </c>
      <c r="E46" s="13">
        <f>IF(NOT(ISNUMBER(C46)),"-",IF(C46&gt;D46,"WATCH","OK"))</f>
        <v/>
      </c>
      <c r="F46" t="inlineStr">
        <is>
          <t>Check 6</t>
        </is>
      </c>
    </row>
    <row r="47">
      <c r="B47" t="inlineStr">
        <is>
          <t>Receivable days (closing, latest)</t>
        </is>
      </c>
      <c r="C47" s="20">
        <f>IF(OR(ISBLANK($E$15),ISBLANK($E$5)),"",$E$15/$E$5*365)</f>
        <v/>
      </c>
      <c r="D47" s="21" t="n">
        <v>90</v>
      </c>
      <c r="E47" s="13">
        <f>IF(NOT(ISNUMBER(C47)),"-",IF(C47&gt;D47,"WATCH","OK"))</f>
        <v/>
      </c>
      <c r="F47" t="inlineStr">
        <is>
          <t>Block 3</t>
        </is>
      </c>
    </row>
    <row r="48">
      <c r="B48" t="inlineStr">
        <is>
          <t>Inventory days (closing, on revenue)</t>
        </is>
      </c>
      <c r="C48" s="20">
        <f>IF(OR(ISBLANK($E$16),ISBLANK($E$5)),"",$E$16/$E$5*365)</f>
        <v/>
      </c>
      <c r="D48" s="21" t="n">
        <v>90</v>
      </c>
      <c r="E48" s="13">
        <f>IF(NOT(ISNUMBER(C48)),"-",IF(C48&gt;D48,"WATCH","OK"))</f>
        <v/>
      </c>
      <c r="F48" t="inlineStr">
        <is>
          <t>Block 3</t>
        </is>
      </c>
    </row>
    <row r="49">
      <c r="B49" t="inlineStr">
        <is>
          <t>Trade NWC % of revenue (latest)</t>
        </is>
      </c>
      <c r="C49" s="18">
        <f>IF(OR(ISBLANK($E$15),ISBLANK($E$16),ISBLANK($E$17),ISBLANK($E$5)),"",($E$15+$E$16-$E$17)/$E$5)</f>
        <v/>
      </c>
      <c r="D49" s="17" t="n">
        <v>0.25</v>
      </c>
      <c r="E49" s="13">
        <f>IF(NOT(ISNUMBER(C49)),"-",IF(C49&gt;D49,"WATCH","OK"))</f>
        <v/>
      </c>
      <c r="F49" t="inlineStr">
        <is>
          <t>Block 2</t>
        </is>
      </c>
    </row>
    <row r="50">
      <c r="B50" t="inlineStr">
        <is>
          <t>Incremental trade NWC per Rs of incremental revenue</t>
        </is>
      </c>
      <c r="C50" s="22">
        <f>IF(OR(ISBLANK($E$15),ISBLANK($E$16),ISBLANK($E$17),ISBLANK($E$5)),"",(($E$15+$E$16-$E$17)-($D$15+$D$16-$D$17))/($E$5-$D$5))</f>
        <v/>
      </c>
      <c r="D50" s="23" t="n">
        <v>0.3</v>
      </c>
      <c r="E50" s="13">
        <f>IF(NOT(ISNUMBER(C50)),"-",IF(C50&gt;D50,"WATCH","OK"))</f>
        <v/>
      </c>
      <c r="F50" t="inlineStr">
        <is>
          <t>Block 2</t>
        </is>
      </c>
    </row>
    <row r="51">
      <c r="B51" t="inlineStr">
        <is>
          <t>ROE pre-issue (latest)</t>
        </is>
      </c>
      <c r="C51" s="18">
        <f>IF(OR(ISBLANK($E$10),ISBLANK($E$14)),"",$E$10/$E$14)</f>
        <v/>
      </c>
      <c r="E51" s="13" t="inlineStr">
        <is>
          <t>info</t>
        </is>
      </c>
      <c r="F51" t="inlineStr">
        <is>
          <t>Block 8</t>
        </is>
      </c>
    </row>
    <row r="52">
      <c r="B52" t="inlineStr">
        <is>
          <t>ROE post-issue (same PAT)</t>
        </is>
      </c>
      <c r="C52" s="18">
        <f>IF(OR(ISBLANK($E$10),ISBLANK($E$14),ISBLANK($E$27)),"",$E$10/($E$14+$E$27))</f>
        <v/>
      </c>
      <c r="E52" s="13" t="inlineStr">
        <is>
          <t>info</t>
        </is>
      </c>
      <c r="F52" t="inlineStr">
        <is>
          <t>Block 8</t>
        </is>
      </c>
    </row>
    <row r="53">
      <c r="B53" t="inlineStr">
        <is>
          <t>Offer price / promoter WACA</t>
        </is>
      </c>
      <c r="C53" s="24">
        <f>IF(OR(ISBLANK($E$28),ISBLANK($E$29)),"",$E$29/$E$28)</f>
        <v/>
      </c>
      <c r="D53" s="25" t="n">
        <v>10</v>
      </c>
      <c r="E53" s="13">
        <f>IF(NOT(ISNUMBER(C53)),"-",IF(C53&gt;D53,"WATCH","OK"))</f>
        <v/>
      </c>
      <c r="F53" t="inlineStr">
        <is>
          <t>Block 8 / 11</t>
        </is>
      </c>
    </row>
    <row r="55">
      <c r="B55" s="14" t="inlineStr">
        <is>
          <t>CFO falling while PAT rises is the signal. Cumulative cash tax at the statutory rate is the strongest positive fact available - say it as plainly as the negatives.</t>
        </is>
      </c>
    </row>
  </sheetData>
  <conditionalFormatting sqref="E33:E54">
    <cfRule type="expression" priority="1" dxfId="0">
      <formula>LEFT(E33,3)="RED"</formula>
    </cfRule>
    <cfRule type="expression" priority="2" dxfId="0">
      <formula>LEFT(E33,4)="FAIL"</formula>
    </cfRule>
    <cfRule type="expression" priority="3" dxfId="0">
      <formula>LEFT(E33,12)="INCONSISTENT"</formula>
    </cfRule>
    <cfRule type="expression" priority="4" dxfId="0">
      <formula>LEFT(E33,10)="DEGENERATE"</formula>
    </cfRule>
    <cfRule type="expression" priority="5" dxfId="1">
      <formula>LEFT(E33,5)="AMBER"</formula>
    </cfRule>
    <cfRule type="expression" priority="6" dxfId="1">
      <formula>LEFT(E33,5)="WATCH"</formula>
    </cfRule>
    <cfRule type="expression" priority="7" dxfId="2">
      <formula>LEFT(E33,2)="OK"</formula>
    </cfRule>
    <cfRule type="expression" priority="8" dxfId="2">
      <formula>LEFT(E33,4)="PASS"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5" customWidth="1" min="1" max="1"/>
    <col width="34" customWidth="1" min="2" max="2"/>
    <col width="60" customWidth="1" min="3" max="3"/>
    <col width="34" customWidth="1" min="4" max="4"/>
    <col width="10" customWidth="1" min="5" max="5"/>
    <col width="12" customWidth="1" min="6" max="6"/>
    <col width="50" customWidth="1" min="7" max="7"/>
  </cols>
  <sheetData>
    <row r="1" ht="24" customHeight="1">
      <c r="A1" s="1" t="inlineStr">
        <is>
          <t>Ten forensic checks + regulatory checks</t>
        </is>
      </c>
    </row>
    <row r="2" ht="20" customHeight="1">
      <c r="A2" s="2" t="inlineStr">
        <is>
          <t>Parshwanath Capital Ventures Fund | SEBI Registered CAT III AIF | IN/AIF3/25-26/2108 | Fund Manager: CA Deep Dalal | Sponsor: Jignesh Shah</t>
        </is>
      </c>
    </row>
    <row r="4">
      <c r="A4" s="15" t="inlineStr">
        <is>
          <t>#</t>
        </is>
      </c>
      <c r="B4" s="15" t="inlineStr">
        <is>
          <t>Check</t>
        </is>
      </c>
      <c r="C4" s="15" t="inlineStr">
        <is>
          <t>What to test</t>
        </is>
      </c>
      <c r="D4" s="15" t="inlineStr">
        <is>
          <t>Where in the document</t>
        </is>
      </c>
      <c r="E4" s="15" t="inlineStr">
        <is>
          <t>Status</t>
        </is>
      </c>
      <c r="F4" s="15" t="inlineStr">
        <is>
          <t>Page cite</t>
        </is>
      </c>
      <c r="G4" s="15" t="inlineStr">
        <is>
          <t>Finding</t>
        </is>
      </c>
    </row>
    <row r="5" ht="42" customHeight="1">
      <c r="A5" s="26" t="inlineStr">
        <is>
          <t>1</t>
        </is>
      </c>
      <c r="B5" s="26" t="inlineStr">
        <is>
          <t>Bonus issue before filing</t>
        </is>
      </c>
      <c r="C5" s="26" t="inlineStr">
        <is>
          <t>Basis for Issue Price on pre-bonus count? EPS/NAV restated for all periods (Ind AS 33)? Consistent share count in every chapter?</t>
        </is>
      </c>
      <c r="D5" s="26" t="inlineStr">
        <is>
          <t>Capital Structure; Basis for Offer Price; Financials</t>
        </is>
      </c>
      <c r="E5" s="7" t="inlineStr">
        <is>
          <t>OPEN</t>
        </is>
      </c>
      <c r="F5" s="7" t="inlineStr"/>
      <c r="G5" s="27" t="inlineStr"/>
    </row>
    <row r="6" ht="42" customHeight="1">
      <c r="A6" s="26" t="inlineStr">
        <is>
          <t>2</t>
        </is>
      </c>
      <c r="B6" s="26" t="inlineStr">
        <is>
          <t>Cash flow statement and CFO vs PAT</t>
        </is>
      </c>
      <c r="C6" s="26" t="inlineStr">
        <is>
          <t>Statement present? Cumulative CFO / PAT, standalone and consolidated (see Quick Metrics).</t>
        </is>
      </c>
      <c r="D6" s="26" t="inlineStr">
        <is>
          <t>Restated cash flow statement</t>
        </is>
      </c>
      <c r="E6" s="7" t="inlineStr">
        <is>
          <t>OPEN</t>
        </is>
      </c>
      <c r="F6" s="7" t="inlineStr"/>
      <c r="G6" s="27" t="inlineStr"/>
    </row>
    <row r="7" ht="42" customHeight="1">
      <c r="A7" s="26" t="inlineStr">
        <is>
          <t>3</t>
        </is>
      </c>
      <c r="B7" s="26" t="inlineStr">
        <is>
          <t>Current vs deferred tax</t>
        </is>
      </c>
      <c r="C7" s="26" t="inlineStr">
        <is>
          <t>Near-nil current tax? Cumulative cash tax rate vs statutory.</t>
        </is>
      </c>
      <c r="D7" s="26" t="inlineStr">
        <is>
          <t>Restated P&amp;L, tax note</t>
        </is>
      </c>
      <c r="E7" s="7" t="inlineStr">
        <is>
          <t>OPEN</t>
        </is>
      </c>
      <c r="F7" s="7" t="inlineStr"/>
      <c r="G7" s="27" t="inlineStr"/>
    </row>
    <row r="8" ht="42" customHeight="1">
      <c r="A8" s="26" t="inlineStr">
        <is>
          <t>4</t>
        </is>
      </c>
      <c r="B8" s="26" t="inlineStr">
        <is>
          <t>Related-party capex and proceeds into subsidiaries</t>
        </is>
      </c>
      <c r="C8" s="26" t="inlineStr">
        <is>
          <t>Capitalised RP purchases; instrument, rate, tenor, security of funds to subsidiaries; leakage to minorities.</t>
        </is>
      </c>
      <c r="D8" s="26" t="inlineStr">
        <is>
          <t>RPT note; Objects</t>
        </is>
      </c>
      <c r="E8" s="7" t="inlineStr">
        <is>
          <t>OPEN</t>
        </is>
      </c>
      <c r="F8" s="7" t="inlineStr"/>
      <c r="G8" s="27" t="inlineStr"/>
    </row>
    <row r="9" ht="42" customHeight="1">
      <c r="A9" s="26" t="inlineStr">
        <is>
          <t>5</t>
        </is>
      </c>
      <c r="B9" s="26" t="inlineStr">
        <is>
          <t>Objects arithmetic as price floor</t>
        </is>
      </c>
      <c r="C9" s="26" t="inlineStr">
        <is>
          <t>Objects / fixed fresh shares, grossed up for expenses and GCP. Floor above fair value?</t>
        </is>
      </c>
      <c r="D9" s="26" t="inlineStr">
        <is>
          <t>Objects of the Offer</t>
        </is>
      </c>
      <c r="E9" s="7" t="inlineStr">
        <is>
          <t>OPEN</t>
        </is>
      </c>
      <c r="F9" s="7" t="inlineStr"/>
      <c r="G9" s="27" t="inlineStr"/>
    </row>
    <row r="10" ht="42" customHeight="1">
      <c r="A10" s="26" t="inlineStr">
        <is>
          <t>6</t>
        </is>
      </c>
      <c r="B10" s="26" t="inlineStr">
        <is>
          <t>Revaluation reserves</t>
        </is>
      </c>
      <c r="C10" s="26" t="inlineStr">
        <is>
          <t>Any non-zero balance.</t>
        </is>
      </c>
      <c r="D10" s="26" t="inlineStr">
        <is>
          <t>Other equity note</t>
        </is>
      </c>
      <c r="E10" s="7" t="inlineStr">
        <is>
          <t>OPEN</t>
        </is>
      </c>
      <c r="F10" s="7" t="inlineStr"/>
      <c r="G10" s="27" t="inlineStr"/>
    </row>
    <row r="11" ht="42" customHeight="1">
      <c r="A11" s="26" t="inlineStr">
        <is>
          <t>7</t>
        </is>
      </c>
      <c r="B11" s="26" t="inlineStr">
        <is>
          <t>Goodwill vs tangible equity</t>
        </is>
      </c>
      <c r="C11" s="26" t="inlineStr">
        <is>
          <t>Goodwill share of equity; purchase accounting changed between documents?</t>
        </is>
      </c>
      <c r="D11" s="26" t="inlineStr">
        <is>
          <t>Restated balance sheet</t>
        </is>
      </c>
      <c r="E11" s="7" t="inlineStr">
        <is>
          <t>OPEN</t>
        </is>
      </c>
      <c r="F11" s="7" t="inlineStr"/>
      <c r="G11" s="27" t="inlineStr"/>
    </row>
    <row r="12" ht="42" customHeight="1">
      <c r="A12" s="26" t="inlineStr">
        <is>
          <t>8</t>
        </is>
      </c>
      <c r="B12" s="26" t="inlineStr">
        <is>
          <t>Concentration - demand AND supply side</t>
        </is>
      </c>
      <c r="C12" s="26" t="inlineStr">
        <is>
          <t>Customer, supplier, geography; &gt;80% flags; long-term supply agreement exists?</t>
        </is>
      </c>
      <c r="D12" s="26" t="inlineStr">
        <is>
          <t>Business; Risk Factors</t>
        </is>
      </c>
      <c r="E12" s="7" t="inlineStr">
        <is>
          <t>OPEN</t>
        </is>
      </c>
      <c r="F12" s="7" t="inlineStr"/>
      <c r="G12" s="27" t="inlineStr"/>
    </row>
    <row r="13" ht="42" customHeight="1">
      <c r="A13" s="26" t="inlineStr">
        <is>
          <t>9</t>
        </is>
      </c>
      <c r="B13" s="26" t="inlineStr">
        <is>
          <t>Contingent liabilities and materiality policy</t>
        </is>
      </c>
      <c r="C13" s="26" t="inlineStr">
        <is>
          <t>CL vs net worth; is the materiality threshold set to exclude real matters?</t>
        </is>
      </c>
      <c r="D13" s="26" t="inlineStr">
        <is>
          <t>Outstanding Litigation; CL note</t>
        </is>
      </c>
      <c r="E13" s="7" t="inlineStr">
        <is>
          <t>OPEN</t>
        </is>
      </c>
      <c r="F13" s="7" t="inlineStr"/>
      <c r="G13" s="27" t="inlineStr"/>
    </row>
    <row r="14" ht="42" customHeight="1">
      <c r="A14" s="26" t="inlineStr">
        <is>
          <t>10</t>
        </is>
      </c>
      <c r="B14" s="26" t="inlineStr">
        <is>
          <t>Investor presentation vs filed document</t>
        </is>
      </c>
      <c r="C14" s="26" t="inlineStr">
        <is>
          <t>Base years, margin definitions, customers, capacity, awards absent from the DRHP; KPIs outside the KPI table.</t>
        </is>
      </c>
      <c r="D14" s="26" t="inlineStr">
        <is>
          <t>Investor deck vs DRHP</t>
        </is>
      </c>
      <c r="E14" s="7" t="inlineStr">
        <is>
          <t>OPEN</t>
        </is>
      </c>
      <c r="F14" s="7" t="inlineStr"/>
      <c r="G14" s="27" t="inlineStr"/>
    </row>
    <row r="15" ht="42" customHeight="1">
      <c r="A15" s="26" t="inlineStr">
        <is>
          <t>R1</t>
        </is>
      </c>
      <c r="B15" s="26" t="inlineStr">
        <is>
          <t>Auditor qualifications / emphasis of matter</t>
        </is>
      </c>
      <c r="C15" s="26" t="inlineStr">
        <is>
          <t>Any qualification, EoM, or CARO adverse remark.</t>
        </is>
      </c>
      <c r="D15" s="26" t="inlineStr">
        <is>
          <t>Auditor reports</t>
        </is>
      </c>
      <c r="E15" s="7" t="inlineStr">
        <is>
          <t>OPEN</t>
        </is>
      </c>
      <c r="F15" s="7" t="inlineStr"/>
      <c r="G15" s="27" t="inlineStr"/>
    </row>
    <row r="16" ht="42" customHeight="1">
      <c r="A16" s="26" t="inlineStr">
        <is>
          <t>R2</t>
        </is>
      </c>
      <c r="B16" s="26" t="inlineStr">
        <is>
          <t>CARO 2020 / Rule 11(g) audit trail</t>
        </is>
      </c>
      <c r="C16" s="26" t="inlineStr">
        <is>
          <t>Audit-trail compliance reported?</t>
        </is>
      </c>
      <c r="D16" s="26" t="inlineStr">
        <is>
          <t>Auditor report annexure</t>
        </is>
      </c>
      <c r="E16" s="7" t="inlineStr">
        <is>
          <t>OPEN</t>
        </is>
      </c>
      <c r="F16" s="7" t="inlineStr"/>
      <c r="G16" s="27" t="inlineStr"/>
    </row>
    <row r="17" ht="42" customHeight="1">
      <c r="A17" s="26" t="inlineStr">
        <is>
          <t>R3</t>
        </is>
      </c>
      <c r="B17" s="26" t="inlineStr">
        <is>
          <t>Monitoring agency (ICDR Reg 262(1))</t>
        </is>
      </c>
      <c r="C17" s="26" t="inlineStr">
        <is>
          <t>Appointed where required by issue size?</t>
        </is>
      </c>
      <c r="D17" s="26" t="inlineStr">
        <is>
          <t>Objects</t>
        </is>
      </c>
      <c r="E17" s="7" t="inlineStr">
        <is>
          <t>OPEN</t>
        </is>
      </c>
      <c r="F17" s="7" t="inlineStr"/>
      <c r="G17" s="27" t="inlineStr"/>
    </row>
    <row r="18" ht="42" customHeight="1">
      <c r="A18" s="26" t="inlineStr">
        <is>
          <t>R4</t>
        </is>
      </c>
      <c r="B18" s="26" t="inlineStr">
        <is>
          <t>Mainboard eligibility (Reg 6(1)/6(2))</t>
        </is>
      </c>
      <c r="C18" s="26" t="inlineStr">
        <is>
          <t>Re-perform the eligibility computation; compare to KPI basis.</t>
        </is>
      </c>
      <c r="D18" s="26" t="inlineStr">
        <is>
          <t>Other Regulatory and Statutory Disclosures</t>
        </is>
      </c>
      <c r="E18" s="7" t="inlineStr">
        <is>
          <t>OPEN</t>
        </is>
      </c>
      <c r="F18" s="7" t="inlineStr"/>
      <c r="G18" s="27" t="inlineStr"/>
    </row>
    <row r="19" ht="42" customHeight="1">
      <c r="A19" s="26" t="inlineStr">
        <is>
          <t>R5</t>
        </is>
      </c>
      <c r="B19" s="26" t="inlineStr">
        <is>
          <t>SME (Chapter IX) - post-2025 conditions</t>
        </is>
      </c>
      <c r="C19" s="26" t="inlineStr">
        <is>
          <t>OFS cap, selling-holder cap, GCP cap, operating-profit test, no proceeds to repay promoter/RP loans. Confirm against current ICDR text.</t>
        </is>
      </c>
      <c r="D19" s="26" t="inlineStr">
        <is>
          <t>Offer structure; Objects</t>
        </is>
      </c>
      <c r="E19" s="7" t="inlineStr">
        <is>
          <t>OPEN</t>
        </is>
      </c>
      <c r="F19" s="7" t="inlineStr"/>
      <c r="G19" s="27" t="inlineStr"/>
    </row>
    <row r="20" ht="42" customHeight="1">
      <c r="A20" s="26" t="inlineStr">
        <is>
          <t>R6</t>
        </is>
      </c>
      <c r="B20" s="26" t="inlineStr">
        <is>
          <t>BRLM track record (CIR/MIRSD/1/2012)</t>
        </is>
      </c>
      <c r="C20" s="26" t="inlineStr">
        <is>
          <t>Compile from exchange data: issue price, listing gain, current price vs issue price.</t>
        </is>
      </c>
      <c r="D20" s="26" t="inlineStr">
        <is>
          <t>BRLM website / exchange data</t>
        </is>
      </c>
      <c r="E20" s="7" t="inlineStr">
        <is>
          <t>OPEN</t>
        </is>
      </c>
      <c r="F20" s="7" t="inlineStr"/>
      <c r="G20" s="27" t="inlineStr"/>
    </row>
    <row r="21" ht="42" customHeight="1">
      <c r="A21" s="26" t="inlineStr">
        <is>
          <t>R7</t>
        </is>
      </c>
      <c r="B21" s="26" t="inlineStr">
        <is>
          <t>Firm means of finance (Reg 230(1)(e))</t>
        </is>
      </c>
      <c r="C21" s="26" t="inlineStr">
        <is>
          <t>75% of stated means of finance tied up, excluding issue proceeds?</t>
        </is>
      </c>
      <c r="D21" s="26" t="inlineStr">
        <is>
          <t>Objects</t>
        </is>
      </c>
      <c r="E21" s="7" t="inlineStr">
        <is>
          <t>OPEN</t>
        </is>
      </c>
      <c r="F21" s="7" t="inlineStr"/>
      <c r="G21" s="27" t="inlineStr"/>
    </row>
  </sheetData>
  <conditionalFormatting sqref="E5:E21">
    <cfRule type="expression" priority="1" dxfId="0">
      <formula>LEFT(E5,3)="RED"</formula>
    </cfRule>
    <cfRule type="expression" priority="2" dxfId="0">
      <formula>LEFT(E5,4)="FAIL"</formula>
    </cfRule>
    <cfRule type="expression" priority="3" dxfId="0">
      <formula>LEFT(E5,12)="INCONSISTENT"</formula>
    </cfRule>
    <cfRule type="expression" priority="4" dxfId="0">
      <formula>LEFT(E5,10)="DEGENERATE"</formula>
    </cfRule>
    <cfRule type="expression" priority="5" dxfId="1">
      <formula>LEFT(E5,5)="AMBER"</formula>
    </cfRule>
    <cfRule type="expression" priority="6" dxfId="1">
      <formula>LEFT(E5,5)="WATCH"</formula>
    </cfRule>
    <cfRule type="expression" priority="7" dxfId="2">
      <formula>LEFT(E5,2)="OK"</formula>
    </cfRule>
    <cfRule type="expression" priority="8" dxfId="2">
      <formula>LEFT(E5,4)="PASS"</formula>
    </cfRule>
  </conditionalFormatting>
  <dataValidations count="17">
    <dataValidation sqref="E5" showDropDown="0" showInputMessage="0" showErrorMessage="0" allowBlank="1" type="list">
      <formula1>"PASS,WATCH,FAIL,N.A.,OPEN"</formula1>
    </dataValidation>
    <dataValidation sqref="E6" showDropDown="0" showInputMessage="0" showErrorMessage="0" allowBlank="1" type="list">
      <formula1>"PASS,WATCH,FAIL,N.A.,OPEN"</formula1>
    </dataValidation>
    <dataValidation sqref="E7" showDropDown="0" showInputMessage="0" showErrorMessage="0" allowBlank="1" type="list">
      <formula1>"PASS,WATCH,FAIL,N.A.,OPEN"</formula1>
    </dataValidation>
    <dataValidation sqref="E8" showDropDown="0" showInputMessage="0" showErrorMessage="0" allowBlank="1" type="list">
      <formula1>"PASS,WATCH,FAIL,N.A.,OPEN"</formula1>
    </dataValidation>
    <dataValidation sqref="E9" showDropDown="0" showInputMessage="0" showErrorMessage="0" allowBlank="1" type="list">
      <formula1>"PASS,WATCH,FAIL,N.A.,OPEN"</formula1>
    </dataValidation>
    <dataValidation sqref="E10" showDropDown="0" showInputMessage="0" showErrorMessage="0" allowBlank="1" type="list">
      <formula1>"PASS,WATCH,FAIL,N.A.,OPEN"</formula1>
    </dataValidation>
    <dataValidation sqref="E11" showDropDown="0" showInputMessage="0" showErrorMessage="0" allowBlank="1" type="list">
      <formula1>"PASS,WATCH,FAIL,N.A.,OPEN"</formula1>
    </dataValidation>
    <dataValidation sqref="E12" showDropDown="0" showInputMessage="0" showErrorMessage="0" allowBlank="1" type="list">
      <formula1>"PASS,WATCH,FAIL,N.A.,OPEN"</formula1>
    </dataValidation>
    <dataValidation sqref="E13" showDropDown="0" showInputMessage="0" showErrorMessage="0" allowBlank="1" type="list">
      <formula1>"PASS,WATCH,FAIL,N.A.,OPEN"</formula1>
    </dataValidation>
    <dataValidation sqref="E14" showDropDown="0" showInputMessage="0" showErrorMessage="0" allowBlank="1" type="list">
      <formula1>"PASS,WATCH,FAIL,N.A.,OPEN"</formula1>
    </dataValidation>
    <dataValidation sqref="E15" showDropDown="0" showInputMessage="0" showErrorMessage="0" allowBlank="1" type="list">
      <formula1>"PASS,WATCH,FAIL,N.A.,OPEN"</formula1>
    </dataValidation>
    <dataValidation sqref="E16" showDropDown="0" showInputMessage="0" showErrorMessage="0" allowBlank="1" type="list">
      <formula1>"PASS,WATCH,FAIL,N.A.,OPEN"</formula1>
    </dataValidation>
    <dataValidation sqref="E17" showDropDown="0" showInputMessage="0" showErrorMessage="0" allowBlank="1" type="list">
      <formula1>"PASS,WATCH,FAIL,N.A.,OPEN"</formula1>
    </dataValidation>
    <dataValidation sqref="E18" showDropDown="0" showInputMessage="0" showErrorMessage="0" allowBlank="1" type="list">
      <formula1>"PASS,WATCH,FAIL,N.A.,OPEN"</formula1>
    </dataValidation>
    <dataValidation sqref="E19" showDropDown="0" showInputMessage="0" showErrorMessage="0" allowBlank="1" type="list">
      <formula1>"PASS,WATCH,FAIL,N.A.,OPEN"</formula1>
    </dataValidation>
    <dataValidation sqref="E20" showDropDown="0" showInputMessage="0" showErrorMessage="0" allowBlank="1" type="list">
      <formula1>"PASS,WATCH,FAIL,N.A.,OPEN"</formula1>
    </dataValidation>
    <dataValidation sqref="E21" showDropDown="0" showInputMessage="0" showErrorMessage="0" allowBlank="1" type="list">
      <formula1>"PASS,WATCH,FAIL,N.A.,OPEN"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44"/>
  <sheetViews>
    <sheetView showGridLines="0" workbookViewId="0">
      <selection activeCell="A1" sqref="A1"/>
    </sheetView>
  </sheetViews>
  <sheetFormatPr baseColWidth="8" defaultRowHeight="15"/>
  <cols>
    <col width="32" customWidth="1" min="1" max="1"/>
    <col width="62" customWidth="1" min="2" max="2"/>
    <col width="60" customWidth="1" min="3" max="3"/>
    <col width="12" customWidth="1" min="4" max="4"/>
    <col width="12" customWidth="1" min="5" max="5"/>
  </cols>
  <sheetData>
    <row r="1" ht="24" customHeight="1">
      <c r="A1" s="1" t="inlineStr">
        <is>
          <t>Twelve analyst work blocks - work all twelve, report what moves the conclusion</t>
        </is>
      </c>
    </row>
    <row r="2" ht="20" customHeight="1">
      <c r="A2" s="2" t="inlineStr">
        <is>
          <t>Parshwanath Capital Ventures Fund | SEBI Registered CAT III AIF | IN/AIF3/25-26/2108 | Fund Manager: CA Deep Dalal | Sponsor: Jignesh Shah</t>
        </is>
      </c>
    </row>
    <row r="4">
      <c r="A4" s="15" t="inlineStr">
        <is>
          <t>Block</t>
        </is>
      </c>
      <c r="B4" s="15" t="inlineStr">
        <is>
          <t>Question</t>
        </is>
      </c>
      <c r="C4" s="15" t="inlineStr">
        <is>
          <t>Finding</t>
        </is>
      </c>
      <c r="D4" s="15" t="inlineStr">
        <is>
          <t>Moves conclusion?</t>
        </is>
      </c>
      <c r="E4" s="15" t="inlineStr">
        <is>
          <t>Page cite</t>
        </is>
      </c>
    </row>
    <row r="5">
      <c r="A5" t="inlineStr">
        <is>
          <t>1 Earnings quality</t>
        </is>
      </c>
      <c r="B5" s="26" t="inlineStr">
        <is>
          <t>Cumulative CFO / PAT; CFO before and after working capital</t>
        </is>
      </c>
      <c r="C5" s="7" t="inlineStr"/>
      <c r="D5" s="7" t="inlineStr"/>
      <c r="E5" s="7" t="inlineStr"/>
    </row>
    <row r="6">
      <c r="A6" t="inlineStr">
        <is>
          <t>1 Earnings quality</t>
        </is>
      </c>
      <c r="B6" s="26" t="inlineStr">
        <is>
          <t>Non-recurring items in other income as % of PBT</t>
        </is>
      </c>
      <c r="C6" s="7" t="inlineStr"/>
      <c r="D6" s="7" t="inlineStr"/>
      <c r="E6" s="7" t="inlineStr"/>
    </row>
    <row r="7">
      <c r="A7" t="inlineStr">
        <is>
          <t>1 Earnings quality</t>
        </is>
      </c>
      <c r="B7" s="26" t="inlineStr">
        <is>
          <t>Is the stub period seasonally favourable for this industry?</t>
        </is>
      </c>
      <c r="C7" s="7" t="inlineStr"/>
      <c r="D7" s="7" t="inlineStr"/>
      <c r="E7" s="7" t="inlineStr"/>
    </row>
    <row r="8">
      <c r="A8" t="inlineStr">
        <is>
          <t>2 Working capital</t>
        </is>
      </c>
      <c r="B8" s="26" t="inlineStr">
        <is>
          <t>NWC % revenue each period</t>
        </is>
      </c>
      <c r="C8" s="7" t="inlineStr"/>
      <c r="D8" s="7" t="inlineStr"/>
      <c r="E8" s="7" t="inlineStr"/>
    </row>
    <row r="9">
      <c r="A9" t="inlineStr">
        <is>
          <t>2 Working capital</t>
        </is>
      </c>
      <c r="B9" s="26" t="inlineStr">
        <is>
          <t>Incremental NWC per Rs of incremental revenue</t>
        </is>
      </c>
      <c r="C9" s="7" t="inlineStr"/>
      <c r="D9" s="7" t="inlineStr"/>
      <c r="E9" s="7" t="inlineStr"/>
    </row>
    <row r="10">
      <c r="A10" t="inlineStr">
        <is>
          <t>2 Working capital</t>
        </is>
      </c>
      <c r="B10" s="26" t="inlineStr">
        <is>
          <t>Closing-balance days vs issuer's average-based days</t>
        </is>
      </c>
      <c r="C10" s="7" t="inlineStr"/>
      <c r="D10" s="7" t="inlineStr"/>
      <c r="E10" s="7" t="inlineStr"/>
    </row>
    <row r="11">
      <c r="A11" t="inlineStr">
        <is>
          <t>3 Receivables / payables / inventory</t>
        </is>
      </c>
      <c r="B11" s="26" t="inlineStr">
        <is>
          <t>Schedule III ageing: buckets from due date or invoice date?</t>
        </is>
      </c>
      <c r="C11" s="7" t="inlineStr"/>
      <c r="D11" s="7" t="inlineStr"/>
      <c r="E11" s="7" t="inlineStr"/>
    </row>
    <row r="12">
      <c r="A12" t="inlineStr">
        <is>
          <t>3 Receivables / payables / inventory</t>
        </is>
      </c>
      <c r="B12" s="26" t="inlineStr">
        <is>
          <t>Provision coverage on old debt</t>
        </is>
      </c>
      <c r="C12" s="7" t="inlineStr"/>
      <c r="D12" s="7" t="inlineStr"/>
      <c r="E12" s="7" t="inlineStr"/>
    </row>
    <row r="13">
      <c r="A13" t="inlineStr">
        <is>
          <t>3 Receivables / payables / inventory</t>
        </is>
      </c>
      <c r="B13" s="26" t="inlineStr">
        <is>
          <t>MSME payables and Sec 15/16 interest</t>
        </is>
      </c>
      <c r="C13" s="7" t="inlineStr"/>
      <c r="D13" s="7" t="inlineStr"/>
      <c r="E13" s="7" t="inlineStr"/>
    </row>
    <row r="14">
      <c r="A14" t="inlineStr">
        <is>
          <t>3 Receivables / payables / inventory</t>
        </is>
      </c>
      <c r="B14" s="26" t="inlineStr">
        <is>
          <t>Slow-moving inventory</t>
        </is>
      </c>
      <c r="C14" s="7" t="inlineStr"/>
      <c r="D14" s="7" t="inlineStr"/>
      <c r="E14" s="7" t="inlineStr"/>
    </row>
    <row r="15">
      <c r="A15" t="inlineStr">
        <is>
          <t>4 Revenue integrity</t>
        </is>
      </c>
      <c r="B15" s="26" t="inlineStr">
        <is>
          <t>Standalone vs consolidated revenue and EPS</t>
        </is>
      </c>
      <c r="C15" s="7" t="inlineStr"/>
      <c r="D15" s="7" t="inlineStr"/>
      <c r="E15" s="7" t="inlineStr"/>
    </row>
    <row r="16">
      <c r="A16" t="inlineStr">
        <is>
          <t>4 Revenue integrity</t>
        </is>
      </c>
      <c r="B16" s="26" t="inlineStr">
        <is>
          <t>Related-party contribution to growth</t>
        </is>
      </c>
      <c r="C16" s="7" t="inlineStr"/>
      <c r="D16" s="7" t="inlineStr"/>
      <c r="E16" s="7" t="inlineStr"/>
    </row>
    <row r="17">
      <c r="A17" t="inlineStr">
        <is>
          <t>4 Revenue integrity</t>
        </is>
      </c>
      <c r="B17" s="26" t="inlineStr">
        <is>
          <t>Segment/product splits ledgered or derived (round numbers + one plug)?</t>
        </is>
      </c>
      <c r="C17" s="7" t="inlineStr"/>
      <c r="D17" s="7" t="inlineStr"/>
      <c r="E17" s="7" t="inlineStr"/>
    </row>
    <row r="18">
      <c r="A18" t="inlineStr">
        <is>
          <t>5 Margin bridge</t>
        </is>
      </c>
      <c r="B18" s="26" t="inlineStr">
        <is>
          <t>Gross margin / employee / other cost contribution to margin change</t>
        </is>
      </c>
      <c r="C18" s="7" t="inlineStr"/>
      <c r="D18" s="7" t="inlineStr"/>
      <c r="E18" s="7" t="inlineStr"/>
    </row>
    <row r="19">
      <c r="A19" t="inlineStr">
        <is>
          <t>5 Margin bridge</t>
        </is>
      </c>
      <c r="B19" s="26" t="inlineStr">
        <is>
          <t>Is the margin plausible for the business model?</t>
        </is>
      </c>
      <c r="C19" s="7" t="inlineStr"/>
      <c r="D19" s="7" t="inlineStr"/>
      <c r="E19" s="7" t="inlineStr"/>
    </row>
    <row r="20">
      <c r="A20" t="inlineStr">
        <is>
          <t>5 Margin bridge</t>
        </is>
      </c>
      <c r="B20" s="26" t="inlineStr">
        <is>
          <t>Costs the company can reinstate at will</t>
        </is>
      </c>
      <c r="C20" s="7" t="inlineStr"/>
      <c r="D20" s="7" t="inlineStr"/>
      <c r="E20" s="7" t="inlineStr"/>
    </row>
    <row r="21">
      <c r="A21" t="inlineStr">
        <is>
          <t>6 Balance sheet and banking</t>
        </is>
      </c>
      <c r="B21" s="26" t="inlineStr">
        <is>
          <t>Sanctioned vs drawn, on-demand share</t>
        </is>
      </c>
      <c r="C21" s="7" t="inlineStr"/>
      <c r="D21" s="7" t="inlineStr"/>
      <c r="E21" s="7" t="inlineStr"/>
    </row>
    <row r="22">
      <c r="A22" t="inlineStr">
        <is>
          <t>6 Balance sheet and banking</t>
        </is>
      </c>
      <c r="B22" s="26" t="inlineStr">
        <is>
          <t>Covenants and lender consents</t>
        </is>
      </c>
      <c r="C22" s="7" t="inlineStr"/>
      <c r="D22" s="7" t="inlineStr"/>
      <c r="E22" s="7" t="inlineStr"/>
    </row>
    <row r="23">
      <c r="A23" t="inlineStr">
        <is>
          <t>6 Balance sheet and banking</t>
        </is>
      </c>
      <c r="B23" s="26" t="inlineStr">
        <is>
          <t>Personal guarantees / promoter property released by proceeds?</t>
        </is>
      </c>
      <c r="C23" s="7" t="inlineStr"/>
      <c r="D23" s="7" t="inlineStr"/>
      <c r="E23" s="7" t="inlineStr"/>
    </row>
    <row r="24">
      <c r="A24" t="inlineStr">
        <is>
          <t>6 Balance sheet and banking</t>
        </is>
      </c>
      <c r="B24" s="26" t="inlineStr">
        <is>
          <t>Credit rating trend; insurance cover vs assets</t>
        </is>
      </c>
      <c r="C24" s="7" t="inlineStr"/>
      <c r="D24" s="7" t="inlineStr"/>
      <c r="E24" s="7" t="inlineStr"/>
    </row>
    <row r="25">
      <c r="A25" t="inlineStr">
        <is>
          <t>7 Objects tested</t>
        </is>
      </c>
      <c r="B25" s="26" t="inlineStr">
        <is>
          <t>% to productive assets / WC / debt / unallocated</t>
        </is>
      </c>
      <c r="C25" s="7" t="inlineStr"/>
      <c r="D25" s="7" t="inlineStr"/>
      <c r="E25" s="7" t="inlineStr"/>
    </row>
    <row r="26">
      <c r="A26" t="inlineStr">
        <is>
          <t>7 Objects tested</t>
        </is>
      </c>
      <c r="B26" s="26" t="inlineStr">
        <is>
          <t>Debt repayment that is revolving WC</t>
        </is>
      </c>
      <c r="C26" s="7" t="inlineStr"/>
      <c r="D26" s="7" t="inlineStr"/>
      <c r="E26" s="7" t="inlineStr"/>
    </row>
    <row r="27">
      <c r="A27" t="inlineStr">
        <is>
          <t>7 Objects tested</t>
        </is>
      </c>
      <c r="B27" s="26" t="inlineStr">
        <is>
          <t>Quotation validity, FX date, firm orders, who prepared the DPR</t>
        </is>
      </c>
      <c r="C27" s="7" t="inlineStr"/>
      <c r="D27" s="7" t="inlineStr"/>
      <c r="E27" s="7" t="inlineStr"/>
    </row>
    <row r="28">
      <c r="A28" t="inlineStr">
        <is>
          <t>8 Post-issue dilution</t>
        </is>
      </c>
      <c r="B28" s="26" t="inlineStr">
        <is>
          <t>Post-money ROE / ROCE</t>
        </is>
      </c>
      <c r="C28" s="7" t="inlineStr"/>
      <c r="D28" s="7" t="inlineStr"/>
      <c r="E28" s="7" t="inlineStr"/>
    </row>
    <row r="29">
      <c r="A29" t="inlineStr">
        <is>
          <t>8 Post-issue dilution</t>
        </is>
      </c>
      <c r="B29" s="26" t="inlineStr">
        <is>
          <t>Offer price vs post-issue NAV (book dilution)</t>
        </is>
      </c>
      <c r="C29" s="7" t="inlineStr"/>
      <c r="D29" s="7" t="inlineStr"/>
      <c r="E29" s="7" t="inlineStr"/>
    </row>
    <row r="30">
      <c r="A30" t="inlineStr">
        <is>
          <t>8 Post-issue dilution</t>
        </is>
      </c>
      <c r="B30" s="26" t="inlineStr">
        <is>
          <t>Promoter WACA vs offer price</t>
        </is>
      </c>
      <c r="C30" s="7" t="inlineStr"/>
      <c r="D30" s="7" t="inlineStr"/>
      <c r="E30" s="7" t="inlineStr"/>
    </row>
    <row r="31">
      <c r="A31" t="inlineStr">
        <is>
          <t>9 Related parties</t>
        </is>
      </c>
      <c r="B31" s="26" t="inlineStr">
        <is>
          <t>Sales/purchases/advances/rent/remuneration/loans vs base</t>
        </is>
      </c>
      <c r="C31" s="7" t="inlineStr"/>
      <c r="D31" s="7" t="inlineStr"/>
      <c r="E31" s="7" t="inlineStr"/>
    </row>
    <row r="32">
      <c r="A32" t="inlineStr">
        <is>
          <t>9 Related parties</t>
        </is>
      </c>
      <c r="B32" s="26" t="inlineStr">
        <is>
          <t>Promoter remuneration: contracted vs drawn (charge the gap in Bear)</t>
        </is>
      </c>
      <c r="C32" s="7" t="inlineStr"/>
      <c r="D32" s="7" t="inlineStr"/>
      <c r="E32" s="7" t="inlineStr"/>
    </row>
    <row r="33">
      <c r="A33" t="inlineStr">
        <is>
          <t>9 Related parties</t>
        </is>
      </c>
      <c r="B33" s="26" t="inlineStr">
        <is>
          <t>Group entities that compete, supply or buy</t>
        </is>
      </c>
      <c r="C33" s="7" t="inlineStr"/>
      <c r="D33" s="7" t="inlineStr"/>
      <c r="E33" s="7" t="inlineStr"/>
    </row>
    <row r="34">
      <c r="A34" t="inlineStr">
        <is>
          <t>10 Management and governance</t>
        </is>
      </c>
      <c r="B34" s="26" t="inlineStr">
        <is>
          <t>Listed-company experience; KMP tenure &lt; 1 year</t>
        </is>
      </c>
      <c r="C34" s="7" t="inlineStr"/>
      <c r="D34" s="7" t="inlineStr"/>
      <c r="E34" s="7" t="inlineStr"/>
    </row>
    <row r="35">
      <c r="A35" t="inlineStr">
        <is>
          <t>10 Management and governance</t>
        </is>
      </c>
      <c r="B35" s="26" t="inlineStr">
        <is>
          <t>Independent director churn within 12 months</t>
        </is>
      </c>
      <c r="C35" s="7" t="inlineStr"/>
      <c r="D35" s="7" t="inlineStr"/>
      <c r="E35" s="7" t="inlineStr"/>
    </row>
    <row r="36">
      <c r="A36" t="inlineStr">
        <is>
          <t>10 Management and governance</t>
        </is>
      </c>
      <c r="B36" s="26" t="inlineStr">
        <is>
          <t>Auditor forensics: changes, ADT-1/ADT-3 dates, resignation reason, firm size</t>
        </is>
      </c>
      <c r="C36" s="7" t="inlineStr"/>
      <c r="D36" s="7" t="inlineStr"/>
      <c r="E36" s="7" t="inlineStr"/>
    </row>
    <row r="37">
      <c r="A37" t="inlineStr">
        <is>
          <t>11 Corporate record</t>
        </is>
      </c>
      <c r="B37" s="26" t="inlineStr">
        <is>
          <t>Compounding / adjudication; late e-form filings</t>
        </is>
      </c>
      <c r="C37" s="7" t="inlineStr"/>
      <c r="D37" s="7" t="inlineStr"/>
      <c r="E37" s="7" t="inlineStr"/>
    </row>
    <row r="38">
      <c r="A38" t="inlineStr">
        <is>
          <t>11 Corporate record</t>
        </is>
      </c>
      <c r="B38" s="26" t="inlineStr">
        <is>
          <t>BEN-1/BEN-2 compliance</t>
        </is>
      </c>
      <c r="C38" s="7" t="inlineStr"/>
      <c r="D38" s="7" t="inlineStr"/>
      <c r="E38" s="7" t="inlineStr"/>
    </row>
    <row r="39">
      <c r="A39" t="inlineStr">
        <is>
          <t>11 Corporate record</t>
        </is>
      </c>
      <c r="B39" s="26" t="inlineStr">
        <is>
          <t>Pre-IPO gifts/transfers and effect on WACA</t>
        </is>
      </c>
      <c r="C39" s="7" t="inlineStr"/>
      <c r="D39" s="7" t="inlineStr"/>
      <c r="E39" s="7" t="inlineStr"/>
    </row>
    <row r="40">
      <c r="A40" t="inlineStr">
        <is>
          <t>11 Corporate record</t>
        </is>
      </c>
      <c r="B40" s="26" t="inlineStr">
        <is>
          <t>Statutory dues delays; approvals pending</t>
        </is>
      </c>
      <c r="C40" s="7" t="inlineStr"/>
      <c r="D40" s="7" t="inlineStr"/>
      <c r="E40" s="7" t="inlineStr"/>
    </row>
    <row r="41">
      <c r="A41" t="inlineStr">
        <is>
          <t>12 Industry and competition</t>
        </is>
      </c>
      <c r="B41" s="26" t="inlineStr">
        <is>
          <t>Who paid for the industry report?</t>
        </is>
      </c>
      <c r="C41" s="7" t="inlineStr"/>
      <c r="D41" s="7" t="inlineStr"/>
      <c r="E41" s="7" t="inlineStr"/>
    </row>
    <row r="42">
      <c r="A42" t="inlineStr">
        <is>
          <t>12 Industry and competition</t>
        </is>
      </c>
      <c r="B42" s="26" t="inlineStr">
        <is>
          <t>Competitors the document does not name</t>
        </is>
      </c>
      <c r="C42" s="7" t="inlineStr"/>
      <c r="D42" s="7" t="inlineStr"/>
      <c r="E42" s="7" t="inlineStr"/>
    </row>
    <row r="43">
      <c r="A43" t="inlineStr">
        <is>
          <t>12 Industry and competition</t>
        </is>
      </c>
      <c r="B43" s="26" t="inlineStr">
        <is>
          <t>Disposals: who bought and what they did next</t>
        </is>
      </c>
      <c r="C43" s="7" t="inlineStr"/>
      <c r="D43" s="7" t="inlineStr"/>
      <c r="E43" s="7" t="inlineStr"/>
    </row>
    <row r="44">
      <c r="A44" t="inlineStr">
        <is>
          <t>12 Industry and competition</t>
        </is>
      </c>
      <c r="B44" s="26" t="inlineStr">
        <is>
          <t>Arm's-length transactions in own shares - implied multiple</t>
        </is>
      </c>
      <c r="C44" s="7" t="inlineStr"/>
      <c r="D44" s="7" t="inlineStr"/>
      <c r="E44" s="7" t="inlineStr"/>
    </row>
  </sheetData>
  <dataValidations count="40">
    <dataValidation sqref="D5" showDropDown="0" showInputMessage="0" showErrorMessage="0" allowBlank="1" type="list">
      <formula1>"Yes,No"</formula1>
    </dataValidation>
    <dataValidation sqref="D6" showDropDown="0" showInputMessage="0" showErrorMessage="0" allowBlank="1" type="list">
      <formula1>"Yes,No"</formula1>
    </dataValidation>
    <dataValidation sqref="D7" showDropDown="0" showInputMessage="0" showErrorMessage="0" allowBlank="1" type="list">
      <formula1>"Yes,No"</formula1>
    </dataValidation>
    <dataValidation sqref="D8" showDropDown="0" showInputMessage="0" showErrorMessage="0" allowBlank="1" type="list">
      <formula1>"Yes,No"</formula1>
    </dataValidation>
    <dataValidation sqref="D9" showDropDown="0" showInputMessage="0" showErrorMessage="0" allowBlank="1" type="list">
      <formula1>"Yes,No"</formula1>
    </dataValidation>
    <dataValidation sqref="D10" showDropDown="0" showInputMessage="0" showErrorMessage="0" allowBlank="1" type="list">
      <formula1>"Yes,No"</formula1>
    </dataValidation>
    <dataValidation sqref="D11" showDropDown="0" showInputMessage="0" showErrorMessage="0" allowBlank="1" type="list">
      <formula1>"Yes,No"</formula1>
    </dataValidation>
    <dataValidation sqref="D12" showDropDown="0" showInputMessage="0" showErrorMessage="0" allowBlank="1" type="list">
      <formula1>"Yes,No"</formula1>
    </dataValidation>
    <dataValidation sqref="D13" showDropDown="0" showInputMessage="0" showErrorMessage="0" allowBlank="1" type="list">
      <formula1>"Yes,No"</formula1>
    </dataValidation>
    <dataValidation sqref="D14" showDropDown="0" showInputMessage="0" showErrorMessage="0" allowBlank="1" type="list">
      <formula1>"Yes,No"</formula1>
    </dataValidation>
    <dataValidation sqref="D15" showDropDown="0" showInputMessage="0" showErrorMessage="0" allowBlank="1" type="list">
      <formula1>"Yes,No"</formula1>
    </dataValidation>
    <dataValidation sqref="D16" showDropDown="0" showInputMessage="0" showErrorMessage="0" allowBlank="1" type="list">
      <formula1>"Yes,No"</formula1>
    </dataValidation>
    <dataValidation sqref="D17" showDropDown="0" showInputMessage="0" showErrorMessage="0" allowBlank="1" type="list">
      <formula1>"Yes,No"</formula1>
    </dataValidation>
    <dataValidation sqref="D18" showDropDown="0" showInputMessage="0" showErrorMessage="0" allowBlank="1" type="list">
      <formula1>"Yes,No"</formula1>
    </dataValidation>
    <dataValidation sqref="D19" showDropDown="0" showInputMessage="0" showErrorMessage="0" allowBlank="1" type="list">
      <formula1>"Yes,No"</formula1>
    </dataValidation>
    <dataValidation sqref="D20" showDropDown="0" showInputMessage="0" showErrorMessage="0" allowBlank="1" type="list">
      <formula1>"Yes,No"</formula1>
    </dataValidation>
    <dataValidation sqref="D21" showDropDown="0" showInputMessage="0" showErrorMessage="0" allowBlank="1" type="list">
      <formula1>"Yes,No"</formula1>
    </dataValidation>
    <dataValidation sqref="D22" showDropDown="0" showInputMessage="0" showErrorMessage="0" allowBlank="1" type="list">
      <formula1>"Yes,No"</formula1>
    </dataValidation>
    <dataValidation sqref="D23" showDropDown="0" showInputMessage="0" showErrorMessage="0" allowBlank="1" type="list">
      <formula1>"Yes,No"</formula1>
    </dataValidation>
    <dataValidation sqref="D24" showDropDown="0" showInputMessage="0" showErrorMessage="0" allowBlank="1" type="list">
      <formula1>"Yes,No"</formula1>
    </dataValidation>
    <dataValidation sqref="D25" showDropDown="0" showInputMessage="0" showErrorMessage="0" allowBlank="1" type="list">
      <formula1>"Yes,No"</formula1>
    </dataValidation>
    <dataValidation sqref="D26" showDropDown="0" showInputMessage="0" showErrorMessage="0" allowBlank="1" type="list">
      <formula1>"Yes,No"</formula1>
    </dataValidation>
    <dataValidation sqref="D27" showDropDown="0" showInputMessage="0" showErrorMessage="0" allowBlank="1" type="list">
      <formula1>"Yes,No"</formula1>
    </dataValidation>
    <dataValidation sqref="D28" showDropDown="0" showInputMessage="0" showErrorMessage="0" allowBlank="1" type="list">
      <formula1>"Yes,No"</formula1>
    </dataValidation>
    <dataValidation sqref="D29" showDropDown="0" showInputMessage="0" showErrorMessage="0" allowBlank="1" type="list">
      <formula1>"Yes,No"</formula1>
    </dataValidation>
    <dataValidation sqref="D30" showDropDown="0" showInputMessage="0" showErrorMessage="0" allowBlank="1" type="list">
      <formula1>"Yes,No"</formula1>
    </dataValidation>
    <dataValidation sqref="D31" showDropDown="0" showInputMessage="0" showErrorMessage="0" allowBlank="1" type="list">
      <formula1>"Yes,No"</formula1>
    </dataValidation>
    <dataValidation sqref="D32" showDropDown="0" showInputMessage="0" showErrorMessage="0" allowBlank="1" type="list">
      <formula1>"Yes,No"</formula1>
    </dataValidation>
    <dataValidation sqref="D33" showDropDown="0" showInputMessage="0" showErrorMessage="0" allowBlank="1" type="list">
      <formula1>"Yes,No"</formula1>
    </dataValidation>
    <dataValidation sqref="D34" showDropDown="0" showInputMessage="0" showErrorMessage="0" allowBlank="1" type="list">
      <formula1>"Yes,No"</formula1>
    </dataValidation>
    <dataValidation sqref="D35" showDropDown="0" showInputMessage="0" showErrorMessage="0" allowBlank="1" type="list">
      <formula1>"Yes,No"</formula1>
    </dataValidation>
    <dataValidation sqref="D36" showDropDown="0" showInputMessage="0" showErrorMessage="0" allowBlank="1" type="list">
      <formula1>"Yes,No"</formula1>
    </dataValidation>
    <dataValidation sqref="D37" showDropDown="0" showInputMessage="0" showErrorMessage="0" allowBlank="1" type="list">
      <formula1>"Yes,No"</formula1>
    </dataValidation>
    <dataValidation sqref="D38" showDropDown="0" showInputMessage="0" showErrorMessage="0" allowBlank="1" type="list">
      <formula1>"Yes,No"</formula1>
    </dataValidation>
    <dataValidation sqref="D39" showDropDown="0" showInputMessage="0" showErrorMessage="0" allowBlank="1" type="list">
      <formula1>"Yes,No"</formula1>
    </dataValidation>
    <dataValidation sqref="D40" showDropDown="0" showInputMessage="0" showErrorMessage="0" allowBlank="1" type="list">
      <formula1>"Yes,No"</formula1>
    </dataValidation>
    <dataValidation sqref="D41" showDropDown="0" showInputMessage="0" showErrorMessage="0" allowBlank="1" type="list">
      <formula1>"Yes,No"</formula1>
    </dataValidation>
    <dataValidation sqref="D42" showDropDown="0" showInputMessage="0" showErrorMessage="0" allowBlank="1" type="list">
      <formula1>"Yes,No"</formula1>
    </dataValidation>
    <dataValidation sqref="D43" showDropDown="0" showInputMessage="0" showErrorMessage="0" allowBlank="1" type="list">
      <formula1>"Yes,No"</formula1>
    </dataValidation>
    <dataValidation sqref="D44" showDropDown="0" showInputMessage="0" showErrorMessage="0" allowBlank="1" type="list">
      <formula1>"Yes,No"</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29"/>
  <sheetViews>
    <sheetView showGridLines="0" workbookViewId="0">
      <selection activeCell="A1" sqref="A1"/>
    </sheetView>
  </sheetViews>
  <sheetFormatPr baseColWidth="8" defaultRowHeight="15"/>
  <cols>
    <col width="40" customWidth="1" min="1" max="1"/>
    <col width="10" customWidth="1" min="2" max="2"/>
    <col width="48" customWidth="1" min="3" max="3"/>
    <col width="34" customWidth="1" min="4" max="4"/>
    <col width="18" customWidth="1" min="5" max="5"/>
    <col width="22" customWidth="1" min="6" max="6"/>
  </cols>
  <sheetData>
    <row r="1" ht="24" customHeight="1">
      <c r="A1" s="1" t="inlineStr">
        <is>
          <t>Data gaps - declared holes, never estimated</t>
        </is>
      </c>
    </row>
    <row r="2" ht="20" customHeight="1">
      <c r="A2" s="2" t="inlineStr">
        <is>
          <t>Parshwanath Capital Ventures Fund | SEBI Registered CAT III AIF | IN/AIF3/25-26/2108 | Fund Manager: CA Deep Dalal | Sponsor: Jignesh Shah</t>
        </is>
      </c>
    </row>
    <row r="4">
      <c r="A4" s="15" t="inlineStr">
        <is>
          <t>Item</t>
        </is>
      </c>
      <c r="B4" s="15" t="inlineStr">
        <is>
          <t>Severity</t>
        </is>
      </c>
      <c r="C4" s="15" t="inlineStr">
        <is>
          <t>Why it matters</t>
        </is>
      </c>
      <c r="D4" s="15" t="inlineStr">
        <is>
          <t>Source to try (BSE/NSE/MCA/ROC)</t>
        </is>
      </c>
      <c r="E4" s="15" t="inlineStr">
        <is>
          <t>Status</t>
        </is>
      </c>
      <c r="F4" s="15" t="inlineStr">
        <is>
          <t>Closed in RHP?</t>
        </is>
      </c>
    </row>
    <row r="5">
      <c r="A5" s="7" t="inlineStr">
        <is>
          <t>BRLM track record compilation</t>
        </is>
      </c>
      <c r="B5" s="7" t="inlineStr">
        <is>
          <t>Medium</t>
        </is>
      </c>
      <c r="C5" s="7" t="inlineStr">
        <is>
          <t>Required by SEBI circular; usually delegated to the BRLM website</t>
        </is>
      </c>
      <c r="D5" s="7" t="inlineStr"/>
      <c r="E5" s="7" t="inlineStr"/>
      <c r="F5" s="7" t="inlineStr"/>
    </row>
    <row r="6">
      <c r="A6" s="7" t="inlineStr"/>
      <c r="B6" s="7" t="inlineStr"/>
      <c r="C6" s="7" t="inlineStr"/>
      <c r="D6" s="7" t="inlineStr"/>
      <c r="E6" s="7" t="inlineStr"/>
      <c r="F6" s="7" t="inlineStr"/>
    </row>
    <row r="7">
      <c r="A7" s="7" t="inlineStr"/>
      <c r="B7" s="7" t="inlineStr"/>
      <c r="C7" s="7" t="inlineStr"/>
      <c r="D7" s="7" t="inlineStr"/>
      <c r="E7" s="7" t="inlineStr"/>
      <c r="F7" s="7" t="inlineStr"/>
    </row>
    <row r="8">
      <c r="A8" s="7" t="inlineStr"/>
      <c r="B8" s="7" t="inlineStr"/>
      <c r="C8" s="7" t="inlineStr"/>
      <c r="D8" s="7" t="inlineStr"/>
      <c r="E8" s="7" t="inlineStr"/>
      <c r="F8" s="7" t="inlineStr"/>
    </row>
    <row r="9">
      <c r="A9" s="7" t="inlineStr"/>
      <c r="B9" s="7" t="inlineStr"/>
      <c r="C9" s="7" t="inlineStr"/>
      <c r="D9" s="7" t="inlineStr"/>
      <c r="E9" s="7" t="inlineStr"/>
      <c r="F9" s="7" t="inlineStr"/>
    </row>
    <row r="10">
      <c r="A10" s="7" t="inlineStr"/>
      <c r="B10" s="7" t="inlineStr"/>
      <c r="C10" s="7" t="inlineStr"/>
      <c r="D10" s="7" t="inlineStr"/>
      <c r="E10" s="7" t="inlineStr"/>
      <c r="F10" s="7" t="inlineStr"/>
    </row>
    <row r="11">
      <c r="A11" s="7" t="inlineStr"/>
      <c r="B11" s="7" t="inlineStr"/>
      <c r="C11" s="7" t="inlineStr"/>
      <c r="D11" s="7" t="inlineStr"/>
      <c r="E11" s="7" t="inlineStr"/>
      <c r="F11" s="7" t="inlineStr"/>
    </row>
    <row r="12">
      <c r="A12" s="7" t="inlineStr"/>
      <c r="B12" s="7" t="inlineStr"/>
      <c r="C12" s="7" t="inlineStr"/>
      <c r="D12" s="7" t="inlineStr"/>
      <c r="E12" s="7" t="inlineStr"/>
      <c r="F12" s="7" t="inlineStr"/>
    </row>
    <row r="13">
      <c r="A13" s="7" t="inlineStr"/>
      <c r="B13" s="7" t="inlineStr"/>
      <c r="C13" s="7" t="inlineStr"/>
      <c r="D13" s="7" t="inlineStr"/>
      <c r="E13" s="7" t="inlineStr"/>
      <c r="F13" s="7" t="inlineStr"/>
    </row>
    <row r="14">
      <c r="A14" s="7" t="inlineStr"/>
      <c r="B14" s="7" t="inlineStr"/>
      <c r="C14" s="7" t="inlineStr"/>
      <c r="D14" s="7" t="inlineStr"/>
      <c r="E14" s="7" t="inlineStr"/>
      <c r="F14" s="7" t="inlineStr"/>
    </row>
    <row r="15">
      <c r="A15" s="7" t="inlineStr"/>
      <c r="B15" s="7" t="inlineStr"/>
      <c r="C15" s="7" t="inlineStr"/>
      <c r="D15" s="7" t="inlineStr"/>
      <c r="E15" s="7" t="inlineStr"/>
      <c r="F15" s="7" t="inlineStr"/>
    </row>
    <row r="16">
      <c r="A16" s="7" t="inlineStr"/>
      <c r="B16" s="7" t="inlineStr"/>
      <c r="C16" s="7" t="inlineStr"/>
      <c r="D16" s="7" t="inlineStr"/>
      <c r="E16" s="7" t="inlineStr"/>
      <c r="F16" s="7" t="inlineStr"/>
    </row>
    <row r="17">
      <c r="A17" s="7" t="inlineStr"/>
      <c r="B17" s="7" t="inlineStr"/>
      <c r="C17" s="7" t="inlineStr"/>
      <c r="D17" s="7" t="inlineStr"/>
      <c r="E17" s="7" t="inlineStr"/>
      <c r="F17" s="7" t="inlineStr"/>
    </row>
    <row r="18">
      <c r="A18" s="7" t="inlineStr"/>
      <c r="B18" s="7" t="inlineStr"/>
      <c r="C18" s="7" t="inlineStr"/>
      <c r="D18" s="7" t="inlineStr"/>
      <c r="E18" s="7" t="inlineStr"/>
      <c r="F18" s="7" t="inlineStr"/>
    </row>
    <row r="19">
      <c r="A19" s="7" t="inlineStr"/>
      <c r="B19" s="7" t="inlineStr"/>
      <c r="C19" s="7" t="inlineStr"/>
      <c r="D19" s="7" t="inlineStr"/>
      <c r="E19" s="7" t="inlineStr"/>
      <c r="F19" s="7" t="inlineStr"/>
    </row>
    <row r="20">
      <c r="A20" s="7" t="inlineStr"/>
      <c r="B20" s="7" t="inlineStr"/>
      <c r="C20" s="7" t="inlineStr"/>
      <c r="D20" s="7" t="inlineStr"/>
      <c r="E20" s="7" t="inlineStr"/>
      <c r="F20" s="7" t="inlineStr"/>
    </row>
    <row r="21">
      <c r="A21" s="7" t="inlineStr"/>
      <c r="B21" s="7" t="inlineStr"/>
      <c r="C21" s="7" t="inlineStr"/>
      <c r="D21" s="7" t="inlineStr"/>
      <c r="E21" s="7" t="inlineStr"/>
      <c r="F21" s="7" t="inlineStr"/>
    </row>
    <row r="22">
      <c r="A22" s="7" t="inlineStr"/>
      <c r="B22" s="7" t="inlineStr"/>
      <c r="C22" s="7" t="inlineStr"/>
      <c r="D22" s="7" t="inlineStr"/>
      <c r="E22" s="7" t="inlineStr"/>
      <c r="F22" s="7" t="inlineStr"/>
    </row>
    <row r="23">
      <c r="A23" s="7" t="inlineStr"/>
      <c r="B23" s="7" t="inlineStr"/>
      <c r="C23" s="7" t="inlineStr"/>
      <c r="D23" s="7" t="inlineStr"/>
      <c r="E23" s="7" t="inlineStr"/>
      <c r="F23" s="7" t="inlineStr"/>
    </row>
    <row r="24">
      <c r="A24" s="7" t="inlineStr"/>
      <c r="B24" s="7" t="inlineStr"/>
      <c r="C24" s="7" t="inlineStr"/>
      <c r="D24" s="7" t="inlineStr"/>
      <c r="E24" s="7" t="inlineStr"/>
      <c r="F24" s="7" t="inlineStr"/>
    </row>
    <row r="25">
      <c r="A25" s="7" t="inlineStr"/>
      <c r="B25" s="7" t="inlineStr"/>
      <c r="C25" s="7" t="inlineStr"/>
      <c r="D25" s="7" t="inlineStr"/>
      <c r="E25" s="7" t="inlineStr"/>
      <c r="F25" s="7" t="inlineStr"/>
    </row>
    <row r="26">
      <c r="A26" s="7" t="inlineStr"/>
      <c r="B26" s="7" t="inlineStr"/>
      <c r="C26" s="7" t="inlineStr"/>
      <c r="D26" s="7" t="inlineStr"/>
      <c r="E26" s="7" t="inlineStr"/>
      <c r="F26" s="7" t="inlineStr"/>
    </row>
    <row r="27">
      <c r="A27" s="7" t="inlineStr"/>
      <c r="B27" s="7" t="inlineStr"/>
      <c r="C27" s="7" t="inlineStr"/>
      <c r="D27" s="7" t="inlineStr"/>
      <c r="E27" s="7" t="inlineStr"/>
      <c r="F27" s="7" t="inlineStr"/>
    </row>
    <row r="28">
      <c r="A28" s="7" t="inlineStr"/>
      <c r="B28" s="7" t="inlineStr"/>
      <c r="C28" s="7" t="inlineStr"/>
      <c r="D28" s="7" t="inlineStr"/>
      <c r="E28" s="7" t="inlineStr"/>
      <c r="F28" s="7" t="inlineStr"/>
    </row>
    <row r="29">
      <c r="A29" s="7" t="inlineStr"/>
      <c r="B29" s="7" t="inlineStr"/>
      <c r="C29" s="7" t="inlineStr"/>
      <c r="D29" s="7" t="inlineStr"/>
      <c r="E29" s="7" t="inlineStr"/>
      <c r="F29" s="7" t="inlineStr"/>
    </row>
  </sheetData>
  <dataValidations count="75">
    <dataValidation sqref="B5" showDropDown="0" showInputMessage="0" showErrorMessage="0" allowBlank="1" type="list">
      <formula1>"High,Medium,Low"</formula1>
    </dataValidation>
    <dataValidation sqref="E5" showDropDown="0" showInputMessage="0" showErrorMessage="0" allowBlank="1" type="list">
      <formula1>"Open,Sourced,Asked issuer/BRLM"</formula1>
    </dataValidation>
    <dataValidation sqref="F5" showDropDown="0" showInputMessage="0" showErrorMessage="0" allowBlank="1" type="list">
      <formula1>"Closed,Closed unsatisfactorily,Ignored,-"</formula1>
    </dataValidation>
    <dataValidation sqref="B6" showDropDown="0" showInputMessage="0" showErrorMessage="0" allowBlank="1" type="list">
      <formula1>"High,Medium,Low"</formula1>
    </dataValidation>
    <dataValidation sqref="E6" showDropDown="0" showInputMessage="0" showErrorMessage="0" allowBlank="1" type="list">
      <formula1>"Open,Sourced,Asked issuer/BRLM"</formula1>
    </dataValidation>
    <dataValidation sqref="F6" showDropDown="0" showInputMessage="0" showErrorMessage="0" allowBlank="1" type="list">
      <formula1>"Closed,Closed unsatisfactorily,Ignored,-"</formula1>
    </dataValidation>
    <dataValidation sqref="B7" showDropDown="0" showInputMessage="0" showErrorMessage="0" allowBlank="1" type="list">
      <formula1>"High,Medium,Low"</formula1>
    </dataValidation>
    <dataValidation sqref="E7" showDropDown="0" showInputMessage="0" showErrorMessage="0" allowBlank="1" type="list">
      <formula1>"Open,Sourced,Asked issuer/BRLM"</formula1>
    </dataValidation>
    <dataValidation sqref="F7" showDropDown="0" showInputMessage="0" showErrorMessage="0" allowBlank="1" type="list">
      <formula1>"Closed,Closed unsatisfactorily,Ignored,-"</formula1>
    </dataValidation>
    <dataValidation sqref="B8" showDropDown="0" showInputMessage="0" showErrorMessage="0" allowBlank="1" type="list">
      <formula1>"High,Medium,Low"</formula1>
    </dataValidation>
    <dataValidation sqref="E8" showDropDown="0" showInputMessage="0" showErrorMessage="0" allowBlank="1" type="list">
      <formula1>"Open,Sourced,Asked issuer/BRLM"</formula1>
    </dataValidation>
    <dataValidation sqref="F8" showDropDown="0" showInputMessage="0" showErrorMessage="0" allowBlank="1" type="list">
      <formula1>"Closed,Closed unsatisfactorily,Ignored,-"</formula1>
    </dataValidation>
    <dataValidation sqref="B9" showDropDown="0" showInputMessage="0" showErrorMessage="0" allowBlank="1" type="list">
      <formula1>"High,Medium,Low"</formula1>
    </dataValidation>
    <dataValidation sqref="E9" showDropDown="0" showInputMessage="0" showErrorMessage="0" allowBlank="1" type="list">
      <formula1>"Open,Sourced,Asked issuer/BRLM"</formula1>
    </dataValidation>
    <dataValidation sqref="F9" showDropDown="0" showInputMessage="0" showErrorMessage="0" allowBlank="1" type="list">
      <formula1>"Closed,Closed unsatisfactorily,Ignored,-"</formula1>
    </dataValidation>
    <dataValidation sqref="B10" showDropDown="0" showInputMessage="0" showErrorMessage="0" allowBlank="1" type="list">
      <formula1>"High,Medium,Low"</formula1>
    </dataValidation>
    <dataValidation sqref="E10" showDropDown="0" showInputMessage="0" showErrorMessage="0" allowBlank="1" type="list">
      <formula1>"Open,Sourced,Asked issuer/BRLM"</formula1>
    </dataValidation>
    <dataValidation sqref="F10" showDropDown="0" showInputMessage="0" showErrorMessage="0" allowBlank="1" type="list">
      <formula1>"Closed,Closed unsatisfactorily,Ignored,-"</formula1>
    </dataValidation>
    <dataValidation sqref="B11" showDropDown="0" showInputMessage="0" showErrorMessage="0" allowBlank="1" type="list">
      <formula1>"High,Medium,Low"</formula1>
    </dataValidation>
    <dataValidation sqref="E11" showDropDown="0" showInputMessage="0" showErrorMessage="0" allowBlank="1" type="list">
      <formula1>"Open,Sourced,Asked issuer/BRLM"</formula1>
    </dataValidation>
    <dataValidation sqref="F11" showDropDown="0" showInputMessage="0" showErrorMessage="0" allowBlank="1" type="list">
      <formula1>"Closed,Closed unsatisfactorily,Ignored,-"</formula1>
    </dataValidation>
    <dataValidation sqref="B12" showDropDown="0" showInputMessage="0" showErrorMessage="0" allowBlank="1" type="list">
      <formula1>"High,Medium,Low"</formula1>
    </dataValidation>
    <dataValidation sqref="E12" showDropDown="0" showInputMessage="0" showErrorMessage="0" allowBlank="1" type="list">
      <formula1>"Open,Sourced,Asked issuer/BRLM"</formula1>
    </dataValidation>
    <dataValidation sqref="F12" showDropDown="0" showInputMessage="0" showErrorMessage="0" allowBlank="1" type="list">
      <formula1>"Closed,Closed unsatisfactorily,Ignored,-"</formula1>
    </dataValidation>
    <dataValidation sqref="B13" showDropDown="0" showInputMessage="0" showErrorMessage="0" allowBlank="1" type="list">
      <formula1>"High,Medium,Low"</formula1>
    </dataValidation>
    <dataValidation sqref="E13" showDropDown="0" showInputMessage="0" showErrorMessage="0" allowBlank="1" type="list">
      <formula1>"Open,Sourced,Asked issuer/BRLM"</formula1>
    </dataValidation>
    <dataValidation sqref="F13" showDropDown="0" showInputMessage="0" showErrorMessage="0" allowBlank="1" type="list">
      <formula1>"Closed,Closed unsatisfactorily,Ignored,-"</formula1>
    </dataValidation>
    <dataValidation sqref="B14" showDropDown="0" showInputMessage="0" showErrorMessage="0" allowBlank="1" type="list">
      <formula1>"High,Medium,Low"</formula1>
    </dataValidation>
    <dataValidation sqref="E14" showDropDown="0" showInputMessage="0" showErrorMessage="0" allowBlank="1" type="list">
      <formula1>"Open,Sourced,Asked issuer/BRLM"</formula1>
    </dataValidation>
    <dataValidation sqref="F14" showDropDown="0" showInputMessage="0" showErrorMessage="0" allowBlank="1" type="list">
      <formula1>"Closed,Closed unsatisfactorily,Ignored,-"</formula1>
    </dataValidation>
    <dataValidation sqref="B15" showDropDown="0" showInputMessage="0" showErrorMessage="0" allowBlank="1" type="list">
      <formula1>"High,Medium,Low"</formula1>
    </dataValidation>
    <dataValidation sqref="E15" showDropDown="0" showInputMessage="0" showErrorMessage="0" allowBlank="1" type="list">
      <formula1>"Open,Sourced,Asked issuer/BRLM"</formula1>
    </dataValidation>
    <dataValidation sqref="F15" showDropDown="0" showInputMessage="0" showErrorMessage="0" allowBlank="1" type="list">
      <formula1>"Closed,Closed unsatisfactorily,Ignored,-"</formula1>
    </dataValidation>
    <dataValidation sqref="B16" showDropDown="0" showInputMessage="0" showErrorMessage="0" allowBlank="1" type="list">
      <formula1>"High,Medium,Low"</formula1>
    </dataValidation>
    <dataValidation sqref="E16" showDropDown="0" showInputMessage="0" showErrorMessage="0" allowBlank="1" type="list">
      <formula1>"Open,Sourced,Asked issuer/BRLM"</formula1>
    </dataValidation>
    <dataValidation sqref="F16" showDropDown="0" showInputMessage="0" showErrorMessage="0" allowBlank="1" type="list">
      <formula1>"Closed,Closed unsatisfactorily,Ignored,-"</formula1>
    </dataValidation>
    <dataValidation sqref="B17" showDropDown="0" showInputMessage="0" showErrorMessage="0" allowBlank="1" type="list">
      <formula1>"High,Medium,Low"</formula1>
    </dataValidation>
    <dataValidation sqref="E17" showDropDown="0" showInputMessage="0" showErrorMessage="0" allowBlank="1" type="list">
      <formula1>"Open,Sourced,Asked issuer/BRLM"</formula1>
    </dataValidation>
    <dataValidation sqref="F17" showDropDown="0" showInputMessage="0" showErrorMessage="0" allowBlank="1" type="list">
      <formula1>"Closed,Closed unsatisfactorily,Ignored,-"</formula1>
    </dataValidation>
    <dataValidation sqref="B18" showDropDown="0" showInputMessage="0" showErrorMessage="0" allowBlank="1" type="list">
      <formula1>"High,Medium,Low"</formula1>
    </dataValidation>
    <dataValidation sqref="E18" showDropDown="0" showInputMessage="0" showErrorMessage="0" allowBlank="1" type="list">
      <formula1>"Open,Sourced,Asked issuer/BRLM"</formula1>
    </dataValidation>
    <dataValidation sqref="F18" showDropDown="0" showInputMessage="0" showErrorMessage="0" allowBlank="1" type="list">
      <formula1>"Closed,Closed unsatisfactorily,Ignored,-"</formula1>
    </dataValidation>
    <dataValidation sqref="B19" showDropDown="0" showInputMessage="0" showErrorMessage="0" allowBlank="1" type="list">
      <formula1>"High,Medium,Low"</formula1>
    </dataValidation>
    <dataValidation sqref="E19" showDropDown="0" showInputMessage="0" showErrorMessage="0" allowBlank="1" type="list">
      <formula1>"Open,Sourced,Asked issuer/BRLM"</formula1>
    </dataValidation>
    <dataValidation sqref="F19" showDropDown="0" showInputMessage="0" showErrorMessage="0" allowBlank="1" type="list">
      <formula1>"Closed,Closed unsatisfactorily,Ignored,-"</formula1>
    </dataValidation>
    <dataValidation sqref="B20" showDropDown="0" showInputMessage="0" showErrorMessage="0" allowBlank="1" type="list">
      <formula1>"High,Medium,Low"</formula1>
    </dataValidation>
    <dataValidation sqref="E20" showDropDown="0" showInputMessage="0" showErrorMessage="0" allowBlank="1" type="list">
      <formula1>"Open,Sourced,Asked issuer/BRLM"</formula1>
    </dataValidation>
    <dataValidation sqref="F20" showDropDown="0" showInputMessage="0" showErrorMessage="0" allowBlank="1" type="list">
      <formula1>"Closed,Closed unsatisfactorily,Ignored,-"</formula1>
    </dataValidation>
    <dataValidation sqref="B21" showDropDown="0" showInputMessage="0" showErrorMessage="0" allowBlank="1" type="list">
      <formula1>"High,Medium,Low"</formula1>
    </dataValidation>
    <dataValidation sqref="E21" showDropDown="0" showInputMessage="0" showErrorMessage="0" allowBlank="1" type="list">
      <formula1>"Open,Sourced,Asked issuer/BRLM"</formula1>
    </dataValidation>
    <dataValidation sqref="F21" showDropDown="0" showInputMessage="0" showErrorMessage="0" allowBlank="1" type="list">
      <formula1>"Closed,Closed unsatisfactorily,Ignored,-"</formula1>
    </dataValidation>
    <dataValidation sqref="B22" showDropDown="0" showInputMessage="0" showErrorMessage="0" allowBlank="1" type="list">
      <formula1>"High,Medium,Low"</formula1>
    </dataValidation>
    <dataValidation sqref="E22" showDropDown="0" showInputMessage="0" showErrorMessage="0" allowBlank="1" type="list">
      <formula1>"Open,Sourced,Asked issuer/BRLM"</formula1>
    </dataValidation>
    <dataValidation sqref="F22" showDropDown="0" showInputMessage="0" showErrorMessage="0" allowBlank="1" type="list">
      <formula1>"Closed,Closed unsatisfactorily,Ignored,-"</formula1>
    </dataValidation>
    <dataValidation sqref="B23" showDropDown="0" showInputMessage="0" showErrorMessage="0" allowBlank="1" type="list">
      <formula1>"High,Medium,Low"</formula1>
    </dataValidation>
    <dataValidation sqref="E23" showDropDown="0" showInputMessage="0" showErrorMessage="0" allowBlank="1" type="list">
      <formula1>"Open,Sourced,Asked issuer/BRLM"</formula1>
    </dataValidation>
    <dataValidation sqref="F23" showDropDown="0" showInputMessage="0" showErrorMessage="0" allowBlank="1" type="list">
      <formula1>"Closed,Closed unsatisfactorily,Ignored,-"</formula1>
    </dataValidation>
    <dataValidation sqref="B24" showDropDown="0" showInputMessage="0" showErrorMessage="0" allowBlank="1" type="list">
      <formula1>"High,Medium,Low"</formula1>
    </dataValidation>
    <dataValidation sqref="E24" showDropDown="0" showInputMessage="0" showErrorMessage="0" allowBlank="1" type="list">
      <formula1>"Open,Sourced,Asked issuer/BRLM"</formula1>
    </dataValidation>
    <dataValidation sqref="F24" showDropDown="0" showInputMessage="0" showErrorMessage="0" allowBlank="1" type="list">
      <formula1>"Closed,Closed unsatisfactorily,Ignored,-"</formula1>
    </dataValidation>
    <dataValidation sqref="B25" showDropDown="0" showInputMessage="0" showErrorMessage="0" allowBlank="1" type="list">
      <formula1>"High,Medium,Low"</formula1>
    </dataValidation>
    <dataValidation sqref="E25" showDropDown="0" showInputMessage="0" showErrorMessage="0" allowBlank="1" type="list">
      <formula1>"Open,Sourced,Asked issuer/BRLM"</formula1>
    </dataValidation>
    <dataValidation sqref="F25" showDropDown="0" showInputMessage="0" showErrorMessage="0" allowBlank="1" type="list">
      <formula1>"Closed,Closed unsatisfactorily,Ignored,-"</formula1>
    </dataValidation>
    <dataValidation sqref="B26" showDropDown="0" showInputMessage="0" showErrorMessage="0" allowBlank="1" type="list">
      <formula1>"High,Medium,Low"</formula1>
    </dataValidation>
    <dataValidation sqref="E26" showDropDown="0" showInputMessage="0" showErrorMessage="0" allowBlank="1" type="list">
      <formula1>"Open,Sourced,Asked issuer/BRLM"</formula1>
    </dataValidation>
    <dataValidation sqref="F26" showDropDown="0" showInputMessage="0" showErrorMessage="0" allowBlank="1" type="list">
      <formula1>"Closed,Closed unsatisfactorily,Ignored,-"</formula1>
    </dataValidation>
    <dataValidation sqref="B27" showDropDown="0" showInputMessage="0" showErrorMessage="0" allowBlank="1" type="list">
      <formula1>"High,Medium,Low"</formula1>
    </dataValidation>
    <dataValidation sqref="E27" showDropDown="0" showInputMessage="0" showErrorMessage="0" allowBlank="1" type="list">
      <formula1>"Open,Sourced,Asked issuer/BRLM"</formula1>
    </dataValidation>
    <dataValidation sqref="F27" showDropDown="0" showInputMessage="0" showErrorMessage="0" allowBlank="1" type="list">
      <formula1>"Closed,Closed unsatisfactorily,Ignored,-"</formula1>
    </dataValidation>
    <dataValidation sqref="B28" showDropDown="0" showInputMessage="0" showErrorMessage="0" allowBlank="1" type="list">
      <formula1>"High,Medium,Low"</formula1>
    </dataValidation>
    <dataValidation sqref="E28" showDropDown="0" showInputMessage="0" showErrorMessage="0" allowBlank="1" type="list">
      <formula1>"Open,Sourced,Asked issuer/BRLM"</formula1>
    </dataValidation>
    <dataValidation sqref="F28" showDropDown="0" showInputMessage="0" showErrorMessage="0" allowBlank="1" type="list">
      <formula1>"Closed,Closed unsatisfactorily,Ignored,-"</formula1>
    </dataValidation>
    <dataValidation sqref="B29" showDropDown="0" showInputMessage="0" showErrorMessage="0" allowBlank="1" type="list">
      <formula1>"High,Medium,Low"</formula1>
    </dataValidation>
    <dataValidation sqref="E29" showDropDown="0" showInputMessage="0" showErrorMessage="0" allowBlank="1" type="list">
      <formula1>"Open,Sourced,Asked issuer/BRLM"</formula1>
    </dataValidation>
    <dataValidation sqref="F29" showDropDown="0" showInputMessage="0" showErrorMessage="0" allowBlank="1" type="list">
      <formula1>"Closed,Closed unsatisfactorily,Ignored,-"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C29"/>
  <sheetViews>
    <sheetView showGridLines="0" workbookViewId="0">
      <selection activeCell="A1" sqref="A1"/>
    </sheetView>
  </sheetViews>
  <sheetFormatPr baseColWidth="8" defaultRowHeight="15"/>
  <cols>
    <col width="2" customWidth="1" min="1" max="1"/>
    <col width="36" customWidth="1" min="2" max="2"/>
    <col width="90" customWidth="1" min="3" max="3"/>
  </cols>
  <sheetData>
    <row r="1" ht="24" customHeight="1">
      <c r="A1" s="1" t="inlineStr">
        <is>
          <t>Forensic scorecard and call</t>
        </is>
      </c>
    </row>
    <row r="2" ht="20" customHeight="1">
      <c r="A2" s="2" t="inlineStr">
        <is>
          <t>Parshwanath Capital Ventures Fund | SEBI Registered CAT III AIF | IN/AIF3/25-26/2108 | Fund Manager: CA Deep Dalal | Sponsor: Jignesh Shah</t>
        </is>
      </c>
    </row>
    <row r="4">
      <c r="B4" s="13">
        <f>'Basis'!$C$5&amp;"  |  "&amp;'Basis'!$C$7&amp;"  |  "&amp;'Basis'!$C$19</f>
        <v/>
      </c>
    </row>
    <row r="6">
      <c r="B6" s="15" t="inlineStr">
        <is>
          <t>Status</t>
        </is>
      </c>
      <c r="C6" s="15" t="inlineStr">
        <is>
          <t>Count</t>
        </is>
      </c>
    </row>
    <row r="7">
      <c r="B7" s="28" t="inlineStr">
        <is>
          <t>PASS</t>
        </is>
      </c>
      <c r="C7" s="12">
        <f>COUNTIF('Forensic Checks'!$E$5:$E$21,B7)</f>
        <v/>
      </c>
    </row>
    <row r="8">
      <c r="B8" s="28" t="inlineStr">
        <is>
          <t>WATCH</t>
        </is>
      </c>
      <c r="C8" s="12">
        <f>COUNTIF('Forensic Checks'!$E$5:$E$21,B8)</f>
        <v/>
      </c>
    </row>
    <row r="9">
      <c r="B9" s="28" t="inlineStr">
        <is>
          <t>FAIL</t>
        </is>
      </c>
      <c r="C9" s="12">
        <f>COUNTIF('Forensic Checks'!$E$5:$E$21,B9)</f>
        <v/>
      </c>
    </row>
    <row r="10">
      <c r="B10" s="28" t="inlineStr">
        <is>
          <t>N.A.</t>
        </is>
      </c>
      <c r="C10" s="12">
        <f>COUNTIF('Forensic Checks'!$E$5:$E$21,B10)</f>
        <v/>
      </c>
    </row>
    <row r="11">
      <c r="B11" s="28" t="inlineStr">
        <is>
          <t>OPEN</t>
        </is>
      </c>
      <c r="C11" s="12">
        <f>COUNTIF('Forensic Checks'!$E$5:$E$21,B11)</f>
        <v/>
      </c>
    </row>
    <row r="13">
      <c r="B13" s="28" t="inlineStr">
        <is>
          <t>Auto-metric WATCH flags</t>
        </is>
      </c>
      <c r="C13" s="12">
        <f>COUNTIF('Quick Metrics'!$E$1:$E$200,"WATCH")</f>
        <v/>
      </c>
    </row>
    <row r="14">
      <c r="B14" s="28" t="inlineStr">
        <is>
          <t>High-severity data gaps open</t>
        </is>
      </c>
      <c r="C14" s="12">
        <f>COUNTIFS('Data Gaps'!$B$5:$B$29,"High",'Data Gaps'!$E$5:$E$29,"Open")</f>
        <v/>
      </c>
    </row>
    <row r="15">
      <c r="B15" s="28" t="inlineStr">
        <is>
          <t>Staleness</t>
        </is>
      </c>
      <c r="C15" s="29">
        <f>'Basis'!$C$12</f>
        <v/>
      </c>
    </row>
    <row r="16">
      <c r="B16" s="28" t="inlineStr">
        <is>
          <t>Exit consistency</t>
        </is>
      </c>
      <c r="C16" s="29">
        <f>'Basis'!$C$20</f>
        <v/>
      </c>
    </row>
    <row r="18">
      <c r="B18" s="28" t="inlineStr">
        <is>
          <t>Screen outcome</t>
        </is>
      </c>
      <c r="C18" s="30">
        <f>IF(C9&gt;0,"FAIL items present - move to full DD only with explicit reasons",IF(C11&gt;0,"WATCH: "&amp;C11&amp;" checks still open - screen not complete",IF(C8+C13&gt;2,"WATCH: several watch items - full DD required","PASS to full due diligence")))</f>
        <v/>
      </c>
    </row>
    <row r="20">
      <c r="B20" s="28" t="inlineStr">
        <is>
          <t>Call (Subscribe / Avoid / Neutral)</t>
        </is>
      </c>
      <c r="C20" s="9" t="inlineStr"/>
    </row>
    <row r="22">
      <c r="B22" s="3" t="inlineStr">
        <is>
          <t>What would change our view (measurable, verifiable against the RHP)</t>
        </is>
      </c>
    </row>
    <row r="23">
      <c r="B23" s="28" t="inlineStr">
        <is>
          <t>1.</t>
        </is>
      </c>
      <c r="C23" s="7" t="inlineStr"/>
    </row>
    <row r="24">
      <c r="B24" s="28" t="inlineStr">
        <is>
          <t>2.</t>
        </is>
      </c>
      <c r="C24" s="7" t="inlineStr"/>
    </row>
    <row r="25">
      <c r="B25" s="28" t="inlineStr">
        <is>
          <t>3.</t>
        </is>
      </c>
      <c r="C25" s="7" t="inlineStr"/>
    </row>
    <row r="26">
      <c r="B26" s="28" t="inlineStr">
        <is>
          <t>4.</t>
        </is>
      </c>
      <c r="C26" s="7" t="inlineStr"/>
    </row>
    <row r="27">
      <c r="B27" s="28" t="inlineStr">
        <is>
          <t>5.</t>
        </is>
      </c>
      <c r="C27" s="7" t="inlineStr"/>
    </row>
    <row r="29">
      <c r="B29"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5:C16">
    <cfRule type="expression" priority="1" dxfId="0">
      <formula>LEFT(C15,3)="RED"</formula>
    </cfRule>
    <cfRule type="expression" priority="2" dxfId="0">
      <formula>LEFT(C15,4)="FAIL"</formula>
    </cfRule>
    <cfRule type="expression" priority="3" dxfId="0">
      <formula>LEFT(C15,12)="INCONSISTENT"</formula>
    </cfRule>
    <cfRule type="expression" priority="4" dxfId="0">
      <formula>LEFT(C15,10)="DEGENERATE"</formula>
    </cfRule>
    <cfRule type="expression" priority="5" dxfId="1">
      <formula>LEFT(C15,5)="AMBER"</formula>
    </cfRule>
    <cfRule type="expression" priority="6" dxfId="1">
      <formula>LEFT(C15,5)="WATCH"</formula>
    </cfRule>
    <cfRule type="expression" priority="7" dxfId="2">
      <formula>LEFT(C15,2)="OK"</formula>
    </cfRule>
    <cfRule type="expression" priority="8" dxfId="2">
      <formula>LEFT(C15,4)="PASS"</formula>
    </cfRule>
  </conditionalFormatting>
  <conditionalFormatting sqref="C18">
    <cfRule type="expression" priority="9" dxfId="0">
      <formula>LEFT(C18,3)="RED"</formula>
    </cfRule>
    <cfRule type="expression" priority="10" dxfId="0">
      <formula>LEFT(C18,4)="FAIL"</formula>
    </cfRule>
    <cfRule type="expression" priority="11" dxfId="0">
      <formula>LEFT(C18,12)="INCONSISTENT"</formula>
    </cfRule>
    <cfRule type="expression" priority="12" dxfId="0">
      <formula>LEFT(C18,10)="DEGENERATE"</formula>
    </cfRule>
    <cfRule type="expression" priority="13" dxfId="1">
      <formula>LEFT(C18,5)="AMBER"</formula>
    </cfRule>
    <cfRule type="expression" priority="14" dxfId="1">
      <formula>LEFT(C18,5)="WATCH"</formula>
    </cfRule>
    <cfRule type="expression" priority="15" dxfId="2">
      <formula>LEFT(C18,2)="OK"</formula>
    </cfRule>
    <cfRule type="expression" priority="16" dxfId="2">
      <formula>LEFT(C18,4)="PASS"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2026-10-19T12:53:57Z</dcterms:created>
  <dcterms:modified xmlns:dcterms="http://purl.org/dc/terms/" xmlns:xsi="http://www.w3.org/2001/XMLSchema-instance" xsi:type="dcterms:W3CDTF">2026-10-19T12:53:57Z</dcterms:modified>
</cp:coreProperties>
</file>