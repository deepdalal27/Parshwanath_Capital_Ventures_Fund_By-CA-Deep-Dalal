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yyyy-mm-dd"/>
    <numFmt numFmtId="166" formatCode="dd-mmm-yyyy"/>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6"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6"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ALL SAMPLE NUMBERS ARE ILLUSTRATIVE AND MUST BE REPLACED.</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Illustrative Co. Ltd (REPLACE)</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v>100</v>
      </c>
      <c r="D7" s="9" t="inlineStr">
        <is>
          <t>Rs/share</t>
        </is>
      </c>
    </row>
    <row r="8">
      <c r="B8" s="7" t="inlineStr">
        <is>
          <t>Anchor allocation price</t>
        </is>
      </c>
      <c r="C8" s="11" t="n">
        <v>100</v>
      </c>
      <c r="D8" s="9" t="inlineStr">
        <is>
          <t>Rs/share</t>
        </is>
      </c>
      <c r="E8" s="10" t="inlineStr">
        <is>
          <t>If offer price &gt; anchor price, anchors pay the difference; if lower, no refund</t>
        </is>
      </c>
    </row>
    <row r="9">
      <c r="B9" s="7" t="inlineStr">
        <is>
          <t>Total issue size</t>
        </is>
      </c>
      <c r="C9" s="11" t="n">
        <v>500</v>
      </c>
      <c r="D9" s="9" t="inlineStr">
        <is>
          <t>Rs cr</t>
        </is>
      </c>
      <c r="E9" s="10" t="inlineStr">
        <is>
          <t>Fresh + OFS</t>
        </is>
      </c>
    </row>
    <row r="10">
      <c r="B10" s="7" t="inlineStr">
        <is>
          <t>Employee reservation</t>
        </is>
      </c>
      <c r="C10" s="11" t="n">
        <v>5</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0.3333333333333333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v>46307</v>
      </c>
      <c r="D31" s="9" t="inlineStr"/>
      <c r="E31" s="10" t="inlineStr">
        <is>
          <t>One working day before issue opens</t>
        </is>
      </c>
    </row>
    <row r="32">
      <c r="B32" s="7" t="inlineStr">
        <is>
          <t>Allotment date (basis of allotment)</t>
        </is>
      </c>
      <c r="C32" s="16" t="n">
        <v>46311</v>
      </c>
      <c r="D32" s="9" t="inlineStr"/>
      <c r="E32" s="10" t="inlineStr">
        <is>
          <t>Lock-in runs from this date</t>
        </is>
      </c>
    </row>
    <row r="33">
      <c r="B33" s="7" t="inlineStr">
        <is>
          <t>Listing date</t>
        </is>
      </c>
      <c r="C33" s="16" t="n">
        <v>46314</v>
      </c>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v>-0.1</v>
      </c>
      <c r="D43" s="12" t="n">
        <v>-0.15</v>
      </c>
      <c r="E43" s="12" t="n">
        <v>-0.2</v>
      </c>
    </row>
    <row r="44">
      <c r="B44" s="18" t="inlineStr">
        <is>
          <t>Neutral</t>
        </is>
      </c>
      <c r="C44" s="12" t="n">
        <v>0.1</v>
      </c>
      <c r="D44" s="12" t="n">
        <v>0.08</v>
      </c>
      <c r="E44" s="12" t="n">
        <v>0.12</v>
      </c>
    </row>
    <row r="45">
      <c r="B45" s="18" t="inlineStr">
        <is>
          <t>Bull</t>
        </is>
      </c>
      <c r="C45" s="12" t="n">
        <v>0.35</v>
      </c>
      <c r="D45" s="12" t="n">
        <v>0.3</v>
      </c>
      <c r="E45" s="12" t="n">
        <v>0.4</v>
      </c>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1000</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Pre-issue non-promoter shareholders</t>
        </is>
      </c>
      <c r="C11" s="11" t="n">
        <v>150</v>
      </c>
      <c r="D11" s="15" t="n">
        <v>180</v>
      </c>
      <c r="E11" s="24">
        <f>'Inputs'!$C$32+D11</f>
        <v/>
      </c>
      <c r="F11" s="19">
        <f>$C$5+SUMIF($E$9:$E$15,"&lt;"&amp;E11,$C$9:$C$15)</f>
        <v/>
      </c>
      <c r="G11" s="22">
        <f>IF(F11&gt;0,C11/F11,0)</f>
        <v/>
      </c>
      <c r="H11" s="19">
        <f>SUMIF($E$9:$E$15,"&lt;="&amp;E11,$C$9:$C$15)</f>
        <v/>
      </c>
      <c r="I11" s="20">
        <f>IF(C11=0,"-",IF(G11&gt;0.25,"RED: large cliff vs float",IF(G11&gt;0.1,"AMBER: watch","OK")))</f>
        <v/>
      </c>
      <c r="J11" s="10" t="inlineStr">
        <is>
          <t>6 months - confirm</t>
        </is>
      </c>
    </row>
    <row r="12">
      <c r="B12" s="18" t="inlineStr">
        <is>
          <t>Promoter holding above minimum contribution</t>
        </is>
      </c>
      <c r="C12" s="11" t="n">
        <v>300</v>
      </c>
      <c r="D12" s="15" t="n">
        <v>180</v>
      </c>
      <c r="E12" s="24">
        <f>'Inputs'!$C$32+D12</f>
        <v/>
      </c>
      <c r="F12" s="19">
        <f>$C$5+SUMIF($E$9:$E$15,"&lt;"&amp;E12,$C$9:$C$15)</f>
        <v/>
      </c>
      <c r="G12" s="22">
        <f>IF(F12&gt;0,C12/F12,0)</f>
        <v/>
      </c>
      <c r="H12" s="19">
        <f>SUMIF($E$9:$E$15,"&lt;="&amp;E12,$C$9:$C$15)</f>
        <v/>
      </c>
      <c r="I12" s="20">
        <f>IF(C12=0,"-",IF(G12&gt;0.25,"RED: large cliff vs float",IF(G12&gt;0.1,"AMBER: watch","OK")))</f>
        <v/>
      </c>
      <c r="J12" s="10" t="inlineStr">
        <is>
          <t>Confirm period in RHP lock-in table</t>
        </is>
      </c>
    </row>
    <row r="13">
      <c r="B13" s="18" t="inlineStr">
        <is>
          <t>Promoter minimum contribution</t>
        </is>
      </c>
      <c r="C13" s="11" t="n">
        <v>200</v>
      </c>
      <c r="D13" s="15" t="n">
        <v>540</v>
      </c>
      <c r="E13" s="24">
        <f>'Inputs'!$C$32+D13</f>
        <v/>
      </c>
      <c r="F13" s="19">
        <f>$C$5+SUMIF($E$9:$E$15,"&lt;"&amp;E13,$C$9:$C$15)</f>
        <v/>
      </c>
      <c r="G13" s="22">
        <f>IF(F13&gt;0,C13/F13,0)</f>
        <v/>
      </c>
      <c r="H13" s="19">
        <f>SUMIF($E$9:$E$15,"&lt;="&amp;E13,$C$9:$C$15)</f>
        <v/>
      </c>
      <c r="I13" s="20">
        <f>IF(C13=0,"-",IF(G13&gt;0.25,"RED: large cliff vs float",IF(G13&gt;0.1,"AMBER: watch","OK")))</f>
        <v/>
      </c>
      <c r="J13" s="10" t="inlineStr">
        <is>
          <t>18 months / 3 years if capex objects - confirm</t>
        </is>
      </c>
    </row>
    <row r="14">
      <c r="B14" s="18" t="inlineStr">
        <is>
          <t>Market maker inventory (SME only)</t>
        </is>
      </c>
      <c r="C14" s="11" t="n">
        <v>0</v>
      </c>
      <c r="D14" s="15" t="n">
        <v>0</v>
      </c>
      <c r="E14" s="24">
        <f>'Inputs'!$C$32+D14</f>
        <v/>
      </c>
      <c r="F14" s="19">
        <f>$C$5+SUMIF($E$9:$E$15,"&lt;"&amp;E14,$C$9:$C$15)</f>
        <v/>
      </c>
      <c r="G14" s="22">
        <f>IF(F14&gt;0,C14/F14,0)</f>
        <v/>
      </c>
      <c r="H14" s="19">
        <f>SUMIF($E$9:$E$15,"&lt;="&amp;E14,$C$9:$C$15)</f>
        <v/>
      </c>
      <c r="I14" s="20">
        <f>IF(C14=0,"-",IF(G14&gt;0.25,"RED: large cliff vs float",IF(G14&gt;0.1,"AMBER: watch","OK")))</f>
        <v/>
      </c>
      <c r="J14" s="10" t="inlineStr">
        <is>
          <t>SME: market maker is the liquidity</t>
        </is>
      </c>
    </row>
    <row r="15">
      <c r="B15" s="18" t="inlineStr">
        <is>
          <t>Other (specify)</t>
        </is>
      </c>
      <c r="C15" s="11" t="n">
        <v>0</v>
      </c>
      <c r="D15" s="15" t="n">
        <v>0</v>
      </c>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2026-10-19T12:53:57Z</dcterms:created>
  <dcterms:modified xmlns:dcterms="http://purl.org/dc/terms/" xmlns:xsi="http://www.w3.org/2001/XMLSchema-instance" xsi:type="dcterms:W3CDTF">2026-10-19T12:53:57Z</dcterms:modified>
</cp:coreProperties>
</file>