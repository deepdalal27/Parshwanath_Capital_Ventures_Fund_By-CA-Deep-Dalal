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Basis" sheetId="2" state="visible" r:id="rId2"/>
    <sheet name="Quick Metrics" sheetId="3" state="visible" r:id="rId3"/>
    <sheet name="Forensic Checks" sheetId="4" state="visible" r:id="rId4"/>
    <sheet name="Work Blocks" sheetId="5" state="visible" r:id="rId5"/>
    <sheet name="Data Gaps" sheetId="6" state="visible" r:id="rId6"/>
    <sheet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51435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Ekkaa Electronics (India) Limited</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46289</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Motilal Oswal Investment Advisors Limited; Shannon Advisors Private Limited (marketing only)</t>
        </is>
      </c>
      <c r="D14" s="8" t="inlineStr"/>
      <c r="E14" s="14" t="inlineStr">
        <is>
          <t>Compile BRLM track record (CIR/MIRSD/1/2012)</t>
        </is>
      </c>
    </row>
    <row r="15">
      <c r="B15" s="6" t="inlineStr">
        <is>
          <t>Figures from outside the offer document</t>
        </is>
      </c>
      <c r="C15" s="7" t="inlineStr">
        <is>
          <t>none for the issuer (all figures from the DRHP); merchant-banker section uses secondary sources marked unverified</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0.07099999999999999</v>
      </c>
      <c r="D5" s="16" t="n">
        <v>496.514</v>
      </c>
      <c r="E5" s="16" t="n">
        <v>1221.763</v>
      </c>
      <c r="F5" s="16" t="n"/>
      <c r="G5" s="7" t="inlineStr">
        <is>
          <t>p. 74</t>
        </is>
      </c>
    </row>
    <row r="6">
      <c r="B6" t="inlineStr">
        <is>
          <t>Other income</t>
        </is>
      </c>
      <c r="C6" s="16" t="n">
        <v>1.137</v>
      </c>
      <c r="D6" s="16" t="n">
        <v>2.096</v>
      </c>
      <c r="E6" s="16" t="n">
        <v>6.637</v>
      </c>
      <c r="F6" s="16" t="n"/>
      <c r="G6" s="7" t="inlineStr">
        <is>
          <t>p. 74</t>
        </is>
      </c>
    </row>
    <row r="7">
      <c r="B7" t="inlineStr">
        <is>
          <t>Profit before tax</t>
        </is>
      </c>
      <c r="C7" s="16" t="n">
        <v>-1.994</v>
      </c>
      <c r="D7" s="16" t="n">
        <v>27.244</v>
      </c>
      <c r="E7" s="16" t="n">
        <v>79.63</v>
      </c>
      <c r="F7" s="16" t="n"/>
      <c r="G7" s="7" t="inlineStr">
        <is>
          <t>p. 74</t>
        </is>
      </c>
    </row>
    <row r="8">
      <c r="B8" t="inlineStr">
        <is>
          <t>Current tax</t>
        </is>
      </c>
      <c r="C8" s="16" t="n">
        <v>0</v>
      </c>
      <c r="D8" s="16" t="n">
        <v>1.832</v>
      </c>
      <c r="E8" s="16" t="n">
        <v>14.542</v>
      </c>
      <c r="F8" s="16" t="n"/>
      <c r="G8" s="7" t="inlineStr">
        <is>
          <t>p. 74</t>
        </is>
      </c>
    </row>
    <row r="9">
      <c r="B9" t="inlineStr">
        <is>
          <t>Deferred tax</t>
        </is>
      </c>
      <c r="C9" s="16" t="n">
        <v>2.056</v>
      </c>
      <c r="D9" s="16" t="n">
        <v>1.86</v>
      </c>
      <c r="E9" s="16" t="n">
        <v>-0.291</v>
      </c>
      <c r="F9" s="16" t="n"/>
      <c r="G9" s="7" t="inlineStr">
        <is>
          <t>p. 74</t>
        </is>
      </c>
    </row>
    <row r="10">
      <c r="B10" t="inlineStr">
        <is>
          <t>PAT</t>
        </is>
      </c>
      <c r="C10" s="16" t="n">
        <v>-4.05</v>
      </c>
      <c r="D10" s="16" t="n">
        <v>23.552</v>
      </c>
      <c r="E10" s="16" t="n">
        <v>65.379</v>
      </c>
      <c r="F10" s="16" t="n"/>
      <c r="G10" s="7" t="inlineStr">
        <is>
          <t>p. 74</t>
        </is>
      </c>
    </row>
    <row r="11">
      <c r="B11" t="inlineStr">
        <is>
          <t>Cash flow from operations</t>
        </is>
      </c>
      <c r="C11" s="16" t="n">
        <v>-15.283</v>
      </c>
      <c r="D11" s="16" t="n">
        <v>-64.11199999999999</v>
      </c>
      <c r="E11" s="16" t="n">
        <v>-28.659</v>
      </c>
      <c r="F11" s="16" t="n"/>
      <c r="G11" s="7" t="inlineStr">
        <is>
          <t>p. 75</t>
        </is>
      </c>
    </row>
    <row r="12">
      <c r="B12" t="inlineStr">
        <is>
          <t>Related-party sales</t>
        </is>
      </c>
      <c r="C12" s="16" t="n">
        <v>0.07099999999999999</v>
      </c>
      <c r="D12" s="16" t="n">
        <v>104.349</v>
      </c>
      <c r="E12" s="16" t="n">
        <v>75.807</v>
      </c>
      <c r="F12" s="16" t="n"/>
      <c r="G12" s="7" t="inlineStr">
        <is>
          <t>pp. 78-79</t>
        </is>
      </c>
    </row>
    <row r="13">
      <c r="B13" t="inlineStr">
        <is>
          <t>Related-party purchases (incl. capex)</t>
        </is>
      </c>
      <c r="C13" s="16" t="n">
        <v>1.681</v>
      </c>
      <c r="D13" s="16" t="n">
        <v>89.449</v>
      </c>
      <c r="E13" s="16" t="n">
        <v>36.298</v>
      </c>
      <c r="F13" s="16" t="n"/>
      <c r="G13" s="7" t="inlineStr">
        <is>
          <t>pp. 78-79</t>
        </is>
      </c>
    </row>
    <row r="14">
      <c r="B14" t="inlineStr">
        <is>
          <t>Net worth</t>
        </is>
      </c>
      <c r="C14" s="16" t="n">
        <v>14.669</v>
      </c>
      <c r="D14" s="16" t="n">
        <v>38.221</v>
      </c>
      <c r="E14" s="16" t="n">
        <v>251.525</v>
      </c>
      <c r="F14" s="16" t="n"/>
      <c r="G14" s="7" t="inlineStr">
        <is>
          <t>p. 73</t>
        </is>
      </c>
    </row>
    <row r="15">
      <c r="B15" t="inlineStr">
        <is>
          <t>Trade receivables</t>
        </is>
      </c>
      <c r="C15" s="16" t="n">
        <v>0.017</v>
      </c>
      <c r="D15" s="16" t="n">
        <v>75.108</v>
      </c>
      <c r="E15" s="16" t="n">
        <v>218.578</v>
      </c>
      <c r="F15" s="16" t="n"/>
      <c r="G15" s="7" t="inlineStr">
        <is>
          <t>p. 73</t>
        </is>
      </c>
    </row>
    <row r="16">
      <c r="B16" t="inlineStr">
        <is>
          <t>Inventory</t>
        </is>
      </c>
      <c r="C16" s="16" t="n">
        <v>5.52</v>
      </c>
      <c r="D16" s="16" t="n">
        <v>130.303</v>
      </c>
      <c r="E16" s="16" t="n">
        <v>252.044</v>
      </c>
      <c r="F16" s="16" t="n"/>
      <c r="G16" s="7" t="inlineStr">
        <is>
          <t>p. 73</t>
        </is>
      </c>
    </row>
    <row r="17">
      <c r="B17" t="inlineStr">
        <is>
          <t>Trade payables</t>
        </is>
      </c>
      <c r="C17" s="16" t="n">
        <v>0.196</v>
      </c>
      <c r="D17" s="16" t="n">
        <v>54.3</v>
      </c>
      <c r="E17" s="16" t="n">
        <v>196.584</v>
      </c>
      <c r="F17" s="16" t="n"/>
      <c r="G17" s="7" t="inlineStr">
        <is>
          <t>p. 73</t>
        </is>
      </c>
    </row>
    <row r="18">
      <c r="B18" t="inlineStr">
        <is>
          <t>Contingent liabilities</t>
        </is>
      </c>
      <c r="C18" s="16" t="n">
        <v>0</v>
      </c>
      <c r="D18" s="16" t="n">
        <v>0</v>
      </c>
      <c r="E18" s="16" t="n">
        <v>0</v>
      </c>
      <c r="F18" s="16" t="n"/>
      <c r="G18" s="7" t="inlineStr">
        <is>
          <t>p. 77</t>
        </is>
      </c>
    </row>
    <row r="19">
      <c r="B19" t="inlineStr">
        <is>
          <t>Goodwill + intangibles</t>
        </is>
      </c>
      <c r="C19" s="16" t="n">
        <v>0</v>
      </c>
      <c r="D19" s="16" t="n">
        <v>0</v>
      </c>
      <c r="E19" s="16" t="n">
        <v>0</v>
      </c>
      <c r="F19" s="16" t="n"/>
      <c r="G19" s="7" t="inlineStr">
        <is>
          <t>p. 362</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0.1686</v>
      </c>
    </row>
    <row r="24">
      <c r="B24" t="inlineStr">
        <is>
          <t>Top-10 customers % of revenue</t>
        </is>
      </c>
      <c r="E24" s="17" t="n">
        <v>0.6577</v>
      </c>
    </row>
    <row r="25">
      <c r="B25" t="inlineStr">
        <is>
          <t>Top supplier % of purchases</t>
        </is>
      </c>
      <c r="E25" s="17" t="n">
        <v>0.4694</v>
      </c>
    </row>
    <row r="26">
      <c r="B26" t="inlineStr">
        <is>
          <t>Largest state/country % of revenue</t>
        </is>
      </c>
      <c r="E26" s="17" t="n"/>
    </row>
    <row r="27">
      <c r="B27" t="inlineStr">
        <is>
          <t>Fresh issue net of expenses</t>
        </is>
      </c>
      <c r="E27" s="16" t="n"/>
    </row>
    <row r="28">
      <c r="B28" t="inlineStr">
        <is>
          <t>Promoter weighted avg cost of acquisition (Rs)</t>
        </is>
      </c>
      <c r="E28" s="16" t="n">
        <v>19.87</v>
      </c>
    </row>
    <row r="29">
      <c r="B29" t="inlineStr">
        <is>
          <t>Offer price / cap (Rs)</t>
        </is>
      </c>
      <c r="E29" s="16" t="n">
        <v>182.63</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93-94, 133</t>
        </is>
      </c>
      <c r="G5" s="27" t="inlineStr">
        <is>
          <t>Bonus (1:1 on 28-Aug-2025, 3:1 on 20-Aug-2026) and the 1:2 split are applied to every period: FY26 EPS 9.04 on about 72.3 m weighted shares, FY25 EPS 3.63, FY24 EPS (0.62), all on the post-bonus count. Basic EPS already counts the compulsorily convertible preference shares, so basic and diluted EPS are equal.</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FAIL</t>
        </is>
      </c>
      <c r="F6" s="7" t="inlineStr">
        <is>
          <t>p. 75</t>
        </is>
      </c>
      <c r="G6" s="27" t="inlineStr">
        <is>
          <t>Operating cash flow was negative in all three years: -286.59 / -641.12 / -152.83 (Rs m, FY26/25/24) against PAT 653.79 / 235.52 / -40.50. Cumulative CFO is -1,080.54 m against cumulative PAT of 848.81 m. Receivables and inventory absorbed Rs 972.55 m and Rs 388.97 m in FY26 alone; capex of Rs 893.28 m was funded by debt and preference capital.</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350</t>
        </is>
      </c>
      <c r="G7" s="27" t="inlineStr">
        <is>
          <t>Current tax Rs 145.42 m on PBT Rs 796.30 m (18.3%) in FY26; cumulative current tax 15.6% of cumulative PBT (Rs 163.74 m / Rs 1,048.80 m). The statutory rate applied is 17.16% (concessional manufacturing regime). Cash taxes paid were Rs 59.60 m over three years against Rs 163.74 m current tax charged, with Rs 131.71 m of current tax liability unpaid at 31-Mar-2026.</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78-80, 274, 362</t>
        </is>
      </c>
      <c r="G8" s="27" t="inlineStr">
        <is>
          <t>Subsidiary Ekkaa Electronics Industries was owned by promoter-directors until 29-Aug-2025 and was the issuer's largest customer in FY25 (Rs 1,043.40 m, 21.01% of revenue) and a large supplier (Rs 894.49 m purchases); the issuer borrowed Rs 1,708.58 m from it in FY25. Acquisition price Rs 490.00 m (Rs 397.58 m in shares at Rs 888 and Rs 92.42 m cash), paid to the two promoter-directors. FY26 revenue still includes Rs 758.07 m (6.20%) of sales to it before acquisition. Rent and an advance to promoter-linked entities (Gaurisuta) in FY26.</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pp. 119-120</t>
        </is>
      </c>
      <c r="G9" s="27" t="inlineStr">
        <is>
          <t>Fresh issue is amount-based (Rs 5,250 m), so there is no fixed share count and no objects price floor. Rs 2,250 m repays debt and Rs 1,500 m funds working capital; the rest is offer expenses and general corporate purposes (cap 25% of gross proceeds).</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is>
          <t>Revaluation reserve not separately located in this pass.</t>
        </is>
      </c>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WATCH</t>
        </is>
      </c>
      <c r="F11" s="7" t="inlineStr">
        <is>
          <t>pp. 362, 380</t>
        </is>
      </c>
      <c r="G11" s="27" t="inlineStr">
        <is>
          <t>The restated accounts record the Rs 490 m acquisition as a bargain purchase: customer-relationship intangible Rs 37.08 m and capital reserve Rs 20.39 m, no goodwill. The proforma balance sheet shows goodwill of Rs 84.99 m for the same transaction: the two documents carry different purchase accounting. The seller was a related party of the issuer.</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22-23, 28-29</t>
        </is>
      </c>
      <c r="G12" s="27" t="inlineStr">
        <is>
          <t>Demand: LED televisions 71.78% of FY26 revenue; top customer 16.86%, top-5 52.43%, top-10 65.77% (FY25: 21.01%, 70.05%, 80.35%); customers unnamed. Supply: top supplier 46.94%, top-5 69.74%, top-10 79.11% of FY26 raw-material purchases; imported open cells and PCB parts. Geographic split not disclosed.</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77</t>
        </is>
      </c>
      <c r="G13" s="27" t="inlineStr">
        <is>
          <t>No contingent liability requiring disclosure at 31-Mar-2026. Capital commitments not reviewed.</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WATCH</t>
        </is>
      </c>
      <c r="F15" s="7" t="inlineStr">
        <is>
          <t>pp. 307, 372, 376</t>
        </is>
      </c>
      <c r="G15" s="27" t="inlineStr">
        <is>
          <t>FY24 and FY25 restated figures derive from special-purpose Ind AS statements prepared for the offer (previous GAAP statutory accounts; transition date 01-Apr-2024). Statutory auditor M S K A &amp; Associates LLP. Backup log of the accounting software kept only from 18-Feb-2026; audit-trail feature stated as enabled throughout FY26.</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WATCH</t>
        </is>
      </c>
      <c r="F19" s="7" t="inlineStr">
        <is>
          <t>p. 448</t>
        </is>
      </c>
      <c r="G19" s="27" t="inlineStr">
        <is>
          <t>Offer is made under Reg 6(2) (at least 75% to QIBs) because the issuer does not satisfy Reg 6(1)(b): operating profit was negative (Rs -11.96 m) in FY24. Average operating profit over three years Rs 487.76 m; net tangible assets Rs 2,532.49 m; monetary assets 0.92% of net tangible assets.</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is>
          <t>pp. 456-458</t>
        </is>
      </c>
      <c r="G20" s="27" t="inlineStr">
        <is>
          <t>BRLMs Motilal Oswal Investment Advisors (14 IPOs in FY2026-27) and Shannon Advisors (marketing role only; two IPOs listed since FY2025-26, one at a 37% day-30 discount). Fuller track record not compiled.</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N.A.</t>
        </is>
      </c>
      <c r="F21" s="7" t="inlineStr">
        <is>
          <t>p. 119</t>
        </is>
      </c>
      <c r="G21" s="27" t="inlineStr">
        <is>
          <t>No capex object.</t>
        </is>
      </c>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2026-10-13T13:52:07Z</dcterms:created>
  <dcterms:modified xsi:type="dcterms:W3CDTF">2026-10-13T13:52:07Z</dcterms:modified>
</cp:coreProperties>
</file>