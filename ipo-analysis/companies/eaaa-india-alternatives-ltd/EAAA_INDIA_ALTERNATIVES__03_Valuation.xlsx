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EAAA India Alternatives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6.4280246</v>
      </c>
      <c r="D10" s="21" t="inlineStr">
        <is>
          <t>crore</t>
        </is>
      </c>
      <c r="E10" s="17" t="inlineStr">
        <is>
          <t>Check bonus restatement (forensic check 1)</t>
        </is>
      </c>
    </row>
    <row r="11">
      <c r="B11" s="19" t="inlineStr">
        <is>
          <t>ESOP / convertibles outstanding</t>
        </is>
      </c>
      <c r="C11" s="15" t="n">
        <v>0.0675</v>
      </c>
      <c r="D11" s="21" t="inlineStr">
        <is>
          <t>crore</t>
        </is>
      </c>
    </row>
    <row r="12">
      <c r="B12" s="19" t="inlineStr">
        <is>
          <t>Fresh issue amount (fixed at objects need)</t>
        </is>
      </c>
      <c r="C12" s="15" t="n">
        <v>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0.72072</v>
      </c>
      <c r="D14" s="21" t="inlineStr">
        <is>
          <t>crore</t>
        </is>
      </c>
    </row>
    <row r="15">
      <c r="B15" s="19" t="inlineStr">
        <is>
          <t>Price band - floor</t>
        </is>
      </c>
      <c r="C15" s="15" t="n">
        <v>1585</v>
      </c>
      <c r="D15" s="21" t="inlineStr">
        <is>
          <t>Rs</t>
        </is>
      </c>
    </row>
    <row r="16">
      <c r="B16" s="19" t="inlineStr">
        <is>
          <t>Price band - cap</t>
        </is>
      </c>
      <c r="C16" s="15" t="n">
        <v>1665</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0</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869.54</v>
      </c>
      <c r="D25" s="21" t="inlineStr">
        <is>
          <t>Rs cr</t>
        </is>
      </c>
    </row>
    <row r="26">
      <c r="B26" s="19" t="inlineStr">
        <is>
          <t>Revenue - prior year</t>
        </is>
      </c>
      <c r="C26" s="15" t="n">
        <v>670.259</v>
      </c>
      <c r="D26" s="21" t="inlineStr">
        <is>
          <t>Rs cr</t>
        </is>
      </c>
    </row>
    <row r="27">
      <c r="B27" s="19" t="inlineStr">
        <is>
          <t>EBITDA (ties to issuer KPI table)</t>
        </is>
      </c>
      <c r="C27" s="15" t="n">
        <v>323.27</v>
      </c>
      <c r="D27" s="21" t="inlineStr">
        <is>
          <t>Rs cr</t>
        </is>
      </c>
    </row>
    <row r="28">
      <c r="B28" s="19" t="inlineStr">
        <is>
          <t>Depreciation &amp; amortisation</t>
        </is>
      </c>
      <c r="C28" s="15" t="n">
        <v>13.015</v>
      </c>
      <c r="D28" s="21" t="inlineStr">
        <is>
          <t>Rs cr</t>
        </is>
      </c>
    </row>
    <row r="29">
      <c r="B29" s="19" t="inlineStr">
        <is>
          <t>PAT</t>
        </is>
      </c>
      <c r="C29" s="15" t="n">
        <v>265.197</v>
      </c>
      <c r="D29" s="21" t="inlineStr">
        <is>
          <t>Rs cr</t>
        </is>
      </c>
    </row>
    <row r="30">
      <c r="B30" s="19" t="inlineStr">
        <is>
          <t>Net worth (pre-issue)</t>
        </is>
      </c>
      <c r="C30" s="15" t="n">
        <v>1160.384</v>
      </c>
      <c r="D30" s="21" t="inlineStr">
        <is>
          <t>Rs cr</t>
        </is>
      </c>
    </row>
    <row r="31">
      <c r="B31" s="19" t="inlineStr">
        <is>
          <t>Net debt (borrowings - cash)</t>
        </is>
      </c>
      <c r="C31" s="15" t="n">
        <v>-752.577</v>
      </c>
      <c r="D31" s="21" t="inlineStr">
        <is>
          <t>Rs cr</t>
        </is>
      </c>
    </row>
    <row r="32">
      <c r="B32" s="19" t="inlineStr">
        <is>
          <t>Net working capital</t>
        </is>
      </c>
      <c r="C32" s="15" t="n">
        <v>51.91</v>
      </c>
      <c r="D32" s="21" t="inlineStr">
        <is>
          <t>Rs cr</t>
        </is>
      </c>
      <c r="E32" s="17" t="inlineStr">
        <is>
          <t>Reconcile to Objects-chapter WC table</t>
        </is>
      </c>
    </row>
    <row r="33">
      <c r="B33" s="19" t="inlineStr">
        <is>
          <t>Net working capital - prior year</t>
        </is>
      </c>
      <c r="C33" s="15" t="n">
        <v>-21.433</v>
      </c>
      <c r="D33" s="21" t="inlineStr">
        <is>
          <t>Rs cr</t>
        </is>
      </c>
    </row>
    <row r="34">
      <c r="B34" s="19" t="inlineStr">
        <is>
          <t>Capex (purchase of PPE + intangibles)</t>
        </is>
      </c>
      <c r="C34" s="15" t="n">
        <v>1.128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0.2</v>
      </c>
      <c r="G67" s="16" t="n">
        <v>0.28</v>
      </c>
      <c r="H67" s="20" t="inlineStr">
        <is>
          <t>Revenue from operations Rs 492.58 / 670.26 / 869.54 cr FY24-26 (+36%, +30%); Q1 FY27 Rs 275.53 cr vs Rs 190.81 cr (+44%) (Add. p. 107). Fee-paying AUM Rs 30,398 -&gt; 33,833 -&gt; 44,710 cr, Rs 48,623 cr at Jun-26 (Add. p. 7). Management fees grew 20% and 21% in FY25-26; carry is lumpier. Neutral 20% then easing to 12% (fees plus a normal level of carry); Bear 7-8% (fees only, weak carry); Bull 28% then 14%.</t>
        </is>
      </c>
    </row>
    <row r="68">
      <c r="B68" t="inlineStr">
        <is>
          <t>Revenue growth Y2</t>
        </is>
      </c>
      <c r="C68" s="23">
        <f>INDEX(E68:G68,Assumptions!$C$5)</f>
        <v/>
      </c>
      <c r="E68" s="16" t="n">
        <v>0.08</v>
      </c>
      <c r="F68" s="16" t="n">
        <v>0.16</v>
      </c>
      <c r="G68" s="16" t="n">
        <v>0.22</v>
      </c>
      <c r="H68" s="20" t="inlineStr">
        <is>
          <t>[rationale + page]</t>
        </is>
      </c>
    </row>
    <row r="69">
      <c r="B69" t="inlineStr">
        <is>
          <t>Revenue growth Y3</t>
        </is>
      </c>
      <c r="C69" s="23">
        <f>INDEX(E69:G69,Assumptions!$C$5)</f>
        <v/>
      </c>
      <c r="E69" s="16" t="n">
        <v>0.08</v>
      </c>
      <c r="F69" s="16" t="n">
        <v>0.15</v>
      </c>
      <c r="G69" s="16" t="n">
        <v>0.2</v>
      </c>
      <c r="H69" s="20" t="inlineStr">
        <is>
          <t>[rationale + page]</t>
        </is>
      </c>
    </row>
    <row r="70">
      <c r="B70" t="inlineStr">
        <is>
          <t>Revenue growth Y4</t>
        </is>
      </c>
      <c r="C70" s="23">
        <f>INDEX(E70:G70,Assumptions!$C$5)</f>
        <v/>
      </c>
      <c r="E70" s="16" t="n">
        <v>0.07000000000000001</v>
      </c>
      <c r="F70" s="16" t="n">
        <v>0.13</v>
      </c>
      <c r="G70" s="16" t="n">
        <v>0.16</v>
      </c>
      <c r="H70" s="20" t="inlineStr">
        <is>
          <t>[rationale + page]</t>
        </is>
      </c>
    </row>
    <row r="71">
      <c r="B71" t="inlineStr">
        <is>
          <t>Revenue growth Y5</t>
        </is>
      </c>
      <c r="C71" s="23">
        <f>INDEX(E71:G71,Assumptions!$C$5)</f>
        <v/>
      </c>
      <c r="E71" s="16" t="n">
        <v>0.07000000000000001</v>
      </c>
      <c r="F71" s="16" t="n">
        <v>0.12</v>
      </c>
      <c r="G71" s="16" t="n">
        <v>0.14</v>
      </c>
      <c r="H71" s="20" t="inlineStr">
        <is>
          <t>[rationale + page]</t>
        </is>
      </c>
    </row>
    <row r="72">
      <c r="B72" t="inlineStr">
        <is>
          <t>EBITDA margin Y1-Y5</t>
        </is>
      </c>
      <c r="C72" s="23">
        <f>INDEX(E72:G72,Assumptions!$C$5)</f>
        <v/>
      </c>
      <c r="E72" s="16" t="n">
        <v>0.3</v>
      </c>
      <c r="F72" s="16" t="n">
        <v>0.35</v>
      </c>
      <c r="G72" s="16" t="n">
        <v>0.38</v>
      </c>
      <c r="H72" s="20" t="inlineStr">
        <is>
          <t>Operating EBITDA (PBT + finance cost + D&amp;A - other income, before the Rs 9.88 cr labour-code charge) Rs 162.85 / 228.37 / 323.27 cr = 33.1% / 34.1% / 37.2% of revenue from operations FY24-26; Q1 FY27 21.6% as employee cost doubled (Add. p. 107). Neutral 35%; Bear 30%; Bull 38%.</t>
        </is>
      </c>
    </row>
    <row r="73">
      <c r="B73" t="inlineStr">
        <is>
          <t>Net working capital % revenue</t>
        </is>
      </c>
      <c r="C73" s="23">
        <f>INDEX(E73:G73,Assumptions!$C$5)</f>
        <v/>
      </c>
      <c r="E73" s="16" t="n">
        <v>0.06</v>
      </c>
      <c r="F73" s="16" t="n">
        <v>0.05</v>
      </c>
      <c r="G73" s="16" t="n">
        <v>0.04</v>
      </c>
      <c r="H73" s="20" t="inlineStr">
        <is>
          <t>Trade receivables less payables 6.0% of FY26 revenue (Add. p. 106); asset-light. Neutral 5%.</t>
        </is>
      </c>
    </row>
    <row r="74">
      <c r="B74" t="inlineStr">
        <is>
          <t>Terminal ROIC</t>
        </is>
      </c>
      <c r="C74" s="23">
        <f>INDEX(E74:G74,Assumptions!$C$5)</f>
        <v/>
      </c>
      <c r="E74" s="16" t="n">
        <v>0.3</v>
      </c>
      <c r="F74" s="16" t="n">
        <v>0.4</v>
      </c>
      <c r="G74" s="16" t="n">
        <v>0.5</v>
      </c>
      <c r="H74" s="20" t="inlineStr">
        <is>
          <t>Asset-light fee business: ROE 25.97% on a book that includes Rs 928 cr of fund investments. Terminal ROIC on operating capital 40% (Neutral).</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360 ONE WAM Ltd (per share)</t>
        </is>
      </c>
      <c r="C5" s="20" t="inlineStr">
        <is>
          <t>Y</t>
        </is>
      </c>
      <c r="D5" s="20" t="inlineStr">
        <is>
          <t>Wealth and alternatives manager - issuer's peer, Add. p. 9</t>
        </is>
      </c>
      <c r="E5" s="20" t="inlineStr">
        <is>
          <t>Consolidated</t>
        </is>
      </c>
      <c r="F5" s="15" t="n">
        <v>1142.1</v>
      </c>
      <c r="G5" s="15" t="n">
        <v>1</v>
      </c>
      <c r="H5" s="15" t="n"/>
      <c r="I5" s="15" t="n"/>
      <c r="J5" s="15" t="n"/>
      <c r="K5" s="15" t="n">
        <v>29.19</v>
      </c>
      <c r="L5" s="15" t="n">
        <v>242.17</v>
      </c>
      <c r="M5" s="16" t="n"/>
      <c r="N5" s="13">
        <f>IF(F5="","",F5*G5)</f>
        <v/>
      </c>
      <c r="O5" s="13">
        <f>IF(N5="","",N5+H5)</f>
        <v/>
      </c>
      <c r="P5" s="27">
        <f>IF(AND(C5="Y",N(K5)&gt;0),N5/K5,"")</f>
        <v/>
      </c>
      <c r="Q5" s="27">
        <f>IF(AND(C5="Y",N(J5)&gt;0),O5/J5,"")</f>
        <v/>
      </c>
      <c r="R5" s="27">
        <f>IF(AND(C5="Y",N(L5)&gt;0),N5/L5,"")</f>
        <v/>
      </c>
      <c r="S5" s="10">
        <f>IF(N(I5)&gt;0,J5/I5,"")</f>
        <v/>
      </c>
      <c r="T5" s="10">
        <f>IF(N(L5)&gt;0,K5/L5,"")</f>
        <v/>
      </c>
    </row>
    <row r="6">
      <c r="B6" s="20" t="inlineStr">
        <is>
          <t>Aditya Birla Sun Life AMC Ltd (per share)</t>
        </is>
      </c>
      <c r="C6" s="20" t="inlineStr">
        <is>
          <t>Y</t>
        </is>
      </c>
      <c r="D6" s="20" t="inlineStr">
        <is>
          <t>Asset manager - issuer's peer, Add. p. 9</t>
        </is>
      </c>
      <c r="E6" s="20" t="inlineStr">
        <is>
          <t>Consolidated</t>
        </is>
      </c>
      <c r="F6" s="15" t="n">
        <v>1008.9</v>
      </c>
      <c r="G6" s="15" t="n">
        <v>1</v>
      </c>
      <c r="H6" s="15" t="n"/>
      <c r="I6" s="15" t="n"/>
      <c r="J6" s="15" t="n"/>
      <c r="K6" s="15" t="n">
        <v>33.68</v>
      </c>
      <c r="L6" s="15" t="n">
        <v>139.94</v>
      </c>
      <c r="M6" s="16" t="n"/>
      <c r="N6" s="13">
        <f>IF(F6="","",F6*G6)</f>
        <v/>
      </c>
      <c r="O6" s="13">
        <f>IF(N6="","",N6+H6)</f>
        <v/>
      </c>
      <c r="P6" s="27">
        <f>IF(AND(C6="Y",N(K6)&gt;0),N6/K6,"")</f>
        <v/>
      </c>
      <c r="Q6" s="27">
        <f>IF(AND(C6="Y",N(J6)&gt;0),O6/J6,"")</f>
        <v/>
      </c>
      <c r="R6" s="27">
        <f>IF(AND(C6="Y",N(L6)&gt;0),N6/L6,"")</f>
        <v/>
      </c>
      <c r="S6" s="10">
        <f>IF(N(I6)&gt;0,J6/I6,"")</f>
        <v/>
      </c>
      <c r="T6" s="10">
        <f>IF(N(L6)&gt;0,K6/L6,"")</f>
        <v/>
      </c>
    </row>
    <row r="7">
      <c r="B7" s="20" t="inlineStr">
        <is>
          <t>Anand Rathi Wealth Ltd (per share)</t>
        </is>
      </c>
      <c r="C7" s="20" t="inlineStr">
        <is>
          <t>Y</t>
        </is>
      </c>
      <c r="D7" s="20" t="inlineStr">
        <is>
          <t>Wealth manager - issuer's peer, Add. p. 9</t>
        </is>
      </c>
      <c r="E7" s="20" t="inlineStr">
        <is>
          <t>Consolidated</t>
        </is>
      </c>
      <c r="F7" s="15" t="n">
        <v>2038.2</v>
      </c>
      <c r="G7" s="15" t="n">
        <v>1</v>
      </c>
      <c r="H7" s="15" t="n"/>
      <c r="I7" s="15" t="n"/>
      <c r="J7" s="15" t="n"/>
      <c r="K7" s="15" t="n">
        <v>47.17</v>
      </c>
      <c r="L7" s="15" t="n">
        <v>120.23</v>
      </c>
      <c r="M7" s="16" t="n"/>
      <c r="N7" s="13">
        <f>IF(F7="","",F7*G7)</f>
        <v/>
      </c>
      <c r="O7" s="13">
        <f>IF(N7="","",N7+H7)</f>
        <v/>
      </c>
      <c r="P7" s="27">
        <f>IF(AND(C7="Y",N(K7)&gt;0),N7/K7,"")</f>
        <v/>
      </c>
      <c r="Q7" s="27">
        <f>IF(AND(C7="Y",N(J7)&gt;0),O7/J7,"")</f>
        <v/>
      </c>
      <c r="R7" s="27">
        <f>IF(AND(C7="Y",N(L7)&gt;0),N7/L7,"")</f>
        <v/>
      </c>
      <c r="S7" s="10">
        <f>IF(N(I7)&gt;0,J7/I7,"")</f>
        <v/>
      </c>
      <c r="T7" s="10">
        <f>IF(N(L7)&gt;0,K7/L7,"")</f>
        <v/>
      </c>
    </row>
    <row r="8">
      <c r="B8" s="20" t="inlineStr">
        <is>
          <t>HDFC Asset Management Co Ltd (per share)</t>
        </is>
      </c>
      <c r="C8" s="20" t="inlineStr">
        <is>
          <t>Y</t>
        </is>
      </c>
      <c r="D8" s="20" t="inlineStr">
        <is>
          <t>Asset manager - issuer's peer, Add. p. 9</t>
        </is>
      </c>
      <c r="E8" s="20" t="inlineStr">
        <is>
          <t>Consolidated</t>
        </is>
      </c>
      <c r="F8" s="15" t="n">
        <v>2546.25</v>
      </c>
      <c r="G8" s="15" t="n">
        <v>1</v>
      </c>
      <c r="H8" s="15" t="n"/>
      <c r="I8" s="15" t="n"/>
      <c r="J8" s="15" t="n"/>
      <c r="K8" s="15" t="n">
        <v>66.5</v>
      </c>
      <c r="L8" s="15" t="n">
        <v>215.42</v>
      </c>
      <c r="M8" s="16" t="n"/>
      <c r="N8" s="13">
        <f>IF(F8="","",F8*G8)</f>
        <v/>
      </c>
      <c r="O8" s="13">
        <f>IF(N8="","",N8+H8)</f>
        <v/>
      </c>
      <c r="P8" s="27">
        <f>IF(AND(C8="Y",N(K8)&gt;0),N8/K8,"")</f>
        <v/>
      </c>
      <c r="Q8" s="27">
        <f>IF(AND(C8="Y",N(J8)&gt;0),O8/J8,"")</f>
        <v/>
      </c>
      <c r="R8" s="27">
        <f>IF(AND(C8="Y",N(L8)&gt;0),N8/L8,"")</f>
        <v/>
      </c>
      <c r="S8" s="10">
        <f>IF(N(I8)&gt;0,J8/I8,"")</f>
        <v/>
      </c>
      <c r="T8" s="10">
        <f>IF(N(L8)&gt;0,K8/L8,"")</f>
        <v/>
      </c>
    </row>
    <row r="9">
      <c r="B9" s="20" t="inlineStr">
        <is>
          <t>Nippon Life India Asset Management Ltd (per share)</t>
        </is>
      </c>
      <c r="C9" s="20" t="inlineStr">
        <is>
          <t>Y</t>
        </is>
      </c>
      <c r="D9" s="20" t="inlineStr">
        <is>
          <t>Asset manager - issuer's peer, Add. p. 9</t>
        </is>
      </c>
      <c r="E9" s="20" t="inlineStr">
        <is>
          <t>Consolidated</t>
        </is>
      </c>
      <c r="F9" s="15" t="n">
        <v>1148.15</v>
      </c>
      <c r="G9" s="15" t="n">
        <v>1</v>
      </c>
      <c r="H9" s="15" t="n"/>
      <c r="I9" s="15" t="n"/>
      <c r="J9" s="15" t="n"/>
      <c r="K9" s="15" t="n">
        <v>23.63</v>
      </c>
      <c r="L9" s="15" t="n">
        <v>73.01000000000001</v>
      </c>
      <c r="M9" s="16" t="n"/>
      <c r="N9" s="13">
        <f>IF(F9="","",F9*G9)</f>
        <v/>
      </c>
      <c r="O9" s="13">
        <f>IF(N9="","",N9+H9)</f>
        <v/>
      </c>
      <c r="P9" s="27">
        <f>IF(AND(C9="Y",N(K9)&gt;0),N9/K9,"")</f>
        <v/>
      </c>
      <c r="Q9" s="27">
        <f>IF(AND(C9="Y",N(J9)&gt;0),O9/J9,"")</f>
        <v/>
      </c>
      <c r="R9" s="27">
        <f>IF(AND(C9="Y",N(L9)&gt;0),N9/L9,"")</f>
        <v/>
      </c>
      <c r="S9" s="10">
        <f>IF(N(I9)&gt;0,J9/I9,"")</f>
        <v/>
      </c>
      <c r="T9" s="10">
        <f>IF(N(L9)&gt;0,K9/L9,"")</f>
        <v/>
      </c>
    </row>
    <row r="10">
      <c r="B10" s="20" t="inlineStr">
        <is>
          <t>Nuvama Wealth Management Ltd (per share)</t>
        </is>
      </c>
      <c r="C10" s="20" t="inlineStr">
        <is>
          <t>Y</t>
        </is>
      </c>
      <c r="D10" s="20" t="inlineStr">
        <is>
          <t>Wealth and alternatives - issuer's peer, Add. p. 9</t>
        </is>
      </c>
      <c r="E10" s="20" t="inlineStr">
        <is>
          <t>Consolidated</t>
        </is>
      </c>
      <c r="F10" s="15" t="n">
        <v>1795.2</v>
      </c>
      <c r="G10" s="15" t="n">
        <v>1</v>
      </c>
      <c r="H10" s="15" t="n"/>
      <c r="I10" s="15" t="n"/>
      <c r="J10" s="15" t="n"/>
      <c r="K10" s="15" t="n">
        <v>56.06</v>
      </c>
      <c r="L10" s="15" t="n">
        <v>226.37</v>
      </c>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is>
          <t>UTI Asset Management Co Ltd (per share)</t>
        </is>
      </c>
      <c r="C11" s="20" t="inlineStr">
        <is>
          <t>Y</t>
        </is>
      </c>
      <c r="D11" s="20" t="inlineStr">
        <is>
          <t>Asset manager - issuer's peer, Add. p. 9</t>
        </is>
      </c>
      <c r="E11" s="20" t="inlineStr">
        <is>
          <t>Consolidated</t>
        </is>
      </c>
      <c r="F11" s="15" t="n">
        <v>909.1</v>
      </c>
      <c r="G11" s="15" t="n">
        <v>1</v>
      </c>
      <c r="H11" s="15" t="n"/>
      <c r="I11" s="15" t="n"/>
      <c r="J11" s="15" t="n"/>
      <c r="K11" s="15" t="n">
        <v>31.41</v>
      </c>
      <c r="L11" s="15" t="n">
        <v>350.5</v>
      </c>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is>
          <t>ICICI Prudential Asset Management Co Ltd (per share)</t>
        </is>
      </c>
      <c r="C12" s="20" t="inlineStr">
        <is>
          <t>Y</t>
        </is>
      </c>
      <c r="D12" s="20" t="inlineStr">
        <is>
          <t>Asset manager - issuer's peer, Add. p. 9</t>
        </is>
      </c>
      <c r="E12" s="20" t="inlineStr">
        <is>
          <t>Consolidated</t>
        </is>
      </c>
      <c r="F12" s="15" t="n">
        <v>3050.7</v>
      </c>
      <c r="G12" s="15" t="n">
        <v>1</v>
      </c>
      <c r="H12" s="15" t="n"/>
      <c r="I12" s="15" t="n"/>
      <c r="J12" s="15" t="n"/>
      <c r="K12" s="15" t="n">
        <v>66.73</v>
      </c>
      <c r="L12" s="15" t="n">
        <v>84.39</v>
      </c>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2026-10-29T09:39:23Z</dcterms:created>
  <dcterms:modified xmlns:dcterms="http://purl.org/dc/terms/" xmlns:xsi="http://www.w3.org/2001/XMLSchema-instance" xsi:type="dcterms:W3CDTF">2026-10-29T09:39:23Z</dcterms:modified>
</cp:coreProperties>
</file>