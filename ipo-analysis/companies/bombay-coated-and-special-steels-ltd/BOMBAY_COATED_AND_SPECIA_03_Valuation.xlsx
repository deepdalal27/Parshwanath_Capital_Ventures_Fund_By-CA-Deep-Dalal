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Bombay Coated and Special Steels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4.0500091</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183.057</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0</v>
      </c>
      <c r="D14" s="21" t="inlineStr">
        <is>
          <t>crore</t>
        </is>
      </c>
    </row>
    <row r="15">
      <c r="B15" s="19" t="inlineStr">
        <is>
          <t>Price band - floor</t>
        </is>
      </c>
      <c r="C15" s="15" t="n">
        <v>78</v>
      </c>
      <c r="D15" s="21" t="inlineStr">
        <is>
          <t>Rs</t>
        </is>
      </c>
    </row>
    <row r="16">
      <c r="B16" s="19" t="inlineStr">
        <is>
          <t>Price band - cap</t>
        </is>
      </c>
      <c r="C16" s="15" t="n">
        <v>82</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140.77</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0</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1266.818</v>
      </c>
      <c r="D25" s="21" t="inlineStr">
        <is>
          <t>Rs cr</t>
        </is>
      </c>
    </row>
    <row r="26">
      <c r="B26" s="19" t="inlineStr">
        <is>
          <t>Revenue - prior year</t>
        </is>
      </c>
      <c r="C26" s="15" t="n">
        <v>1055.707</v>
      </c>
      <c r="D26" s="21" t="inlineStr">
        <is>
          <t>Rs cr</t>
        </is>
      </c>
    </row>
    <row r="27">
      <c r="B27" s="19" t="inlineStr">
        <is>
          <t>EBITDA (ties to issuer KPI table)</t>
        </is>
      </c>
      <c r="C27" s="15" t="n">
        <v>86.09</v>
      </c>
      <c r="D27" s="21" t="inlineStr">
        <is>
          <t>Rs cr</t>
        </is>
      </c>
    </row>
    <row r="28">
      <c r="B28" s="19" t="inlineStr">
        <is>
          <t>Depreciation &amp; amortisation</t>
        </is>
      </c>
      <c r="C28" s="15" t="n">
        <v>12.601</v>
      </c>
      <c r="D28" s="21" t="inlineStr">
        <is>
          <t>Rs cr</t>
        </is>
      </c>
    </row>
    <row r="29">
      <c r="B29" s="19" t="inlineStr">
        <is>
          <t>PAT</t>
        </is>
      </c>
      <c r="C29" s="15" t="n">
        <v>30.539</v>
      </c>
      <c r="D29" s="21" t="inlineStr">
        <is>
          <t>Rs cr</t>
        </is>
      </c>
    </row>
    <row r="30">
      <c r="B30" s="19" t="inlineStr">
        <is>
          <t>Net worth (pre-issue)</t>
        </is>
      </c>
      <c r="C30" s="15" t="n">
        <v>136.615</v>
      </c>
      <c r="D30" s="21" t="inlineStr">
        <is>
          <t>Rs cr</t>
        </is>
      </c>
    </row>
    <row r="31">
      <c r="B31" s="19" t="inlineStr">
        <is>
          <t>Net debt (borrowings - cash)</t>
        </is>
      </c>
      <c r="C31" s="15" t="n">
        <v>274.643</v>
      </c>
      <c r="D31" s="21" t="inlineStr">
        <is>
          <t>Rs cr</t>
        </is>
      </c>
    </row>
    <row r="32">
      <c r="B32" s="19" t="inlineStr">
        <is>
          <t>Net working capital</t>
        </is>
      </c>
      <c r="C32" s="15" t="n">
        <v>232.2</v>
      </c>
      <c r="D32" s="21" t="inlineStr">
        <is>
          <t>Rs cr</t>
        </is>
      </c>
      <c r="E32" s="17" t="inlineStr">
        <is>
          <t>Reconcile to Objects-chapter WC table</t>
        </is>
      </c>
    </row>
    <row r="33">
      <c r="B33" s="19" t="inlineStr">
        <is>
          <t>Net working capital - prior year</t>
        </is>
      </c>
      <c r="C33" s="15" t="n">
        <v>179.491</v>
      </c>
      <c r="D33" s="21" t="inlineStr">
        <is>
          <t>Rs cr</t>
        </is>
      </c>
    </row>
    <row r="34">
      <c r="B34" s="19" t="inlineStr">
        <is>
          <t>Capex (purchase of PPE + intangibles)</t>
        </is>
      </c>
      <c r="C34" s="15" t="n">
        <v>54.802</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0.12</v>
      </c>
      <c r="G67" s="16" t="n">
        <v>0.2</v>
      </c>
      <c r="H67" s="20" t="inlineStr">
        <is>
          <t>Revenue Rs 755.26 / 1,055.71 / 1,266.82 cr FY24-26 (+39.8%, +20.0%); Q1 FY27 Rs 397.08 cr, ahead of the FY26 quarterly run-rate of Rs 316.70 cr in the AC season (p. 85). Installed capacity 4.62 lakh MTPA across four plants with 59-64% utilisation in slitting and cut-to-length (pp. 131-132), so growth needs little new capacity. Neutral 12% in FY27 then 8-10%; Bear 5%; Bull 20% then 10-15%.</t>
        </is>
      </c>
    </row>
    <row r="68">
      <c r="B68" t="inlineStr">
        <is>
          <t>Revenue growth Y2</t>
        </is>
      </c>
      <c r="C68" s="23">
        <f>INDEX(E68:G68,Assumptions!$C$5)</f>
        <v/>
      </c>
      <c r="E68" s="16" t="n">
        <v>0.05</v>
      </c>
      <c r="F68" s="16" t="n">
        <v>0.1</v>
      </c>
      <c r="G68" s="16" t="n">
        <v>0.15</v>
      </c>
      <c r="H68" s="20" t="inlineStr">
        <is>
          <t>[rationale + page]</t>
        </is>
      </c>
    </row>
    <row r="69">
      <c r="B69" t="inlineStr">
        <is>
          <t>Revenue growth Y3</t>
        </is>
      </c>
      <c r="C69" s="23">
        <f>INDEX(E69:G69,Assumptions!$C$5)</f>
        <v/>
      </c>
      <c r="E69" s="16" t="n">
        <v>0.05</v>
      </c>
      <c r="F69" s="16" t="n">
        <v>0.1</v>
      </c>
      <c r="G69" s="16" t="n">
        <v>0.14</v>
      </c>
      <c r="H69" s="20" t="inlineStr">
        <is>
          <t>[rationale + page]</t>
        </is>
      </c>
    </row>
    <row r="70">
      <c r="B70" t="inlineStr">
        <is>
          <t>Revenue growth Y4</t>
        </is>
      </c>
      <c r="C70" s="23">
        <f>INDEX(E70:G70,Assumptions!$C$5)</f>
        <v/>
      </c>
      <c r="E70" s="16" t="n">
        <v>0.05</v>
      </c>
      <c r="F70" s="16" t="n">
        <v>0.09</v>
      </c>
      <c r="G70" s="16" t="n">
        <v>0.12</v>
      </c>
      <c r="H70" s="20" t="inlineStr">
        <is>
          <t>[rationale + page]</t>
        </is>
      </c>
    </row>
    <row r="71">
      <c r="B71" t="inlineStr">
        <is>
          <t>Revenue growth Y5</t>
        </is>
      </c>
      <c r="C71" s="23">
        <f>INDEX(E71:G71,Assumptions!$C$5)</f>
        <v/>
      </c>
      <c r="E71" s="16" t="n">
        <v>0.05</v>
      </c>
      <c r="F71" s="16" t="n">
        <v>0.08</v>
      </c>
      <c r="G71" s="16" t="n">
        <v>0.1</v>
      </c>
      <c r="H71" s="20" t="inlineStr">
        <is>
          <t>[rationale + page]</t>
        </is>
      </c>
    </row>
    <row r="72">
      <c r="B72" t="inlineStr">
        <is>
          <t>EBITDA margin Y1-Y5</t>
        </is>
      </c>
      <c r="C72" s="23">
        <f>INDEX(E72:G72,Assumptions!$C$5)</f>
        <v/>
      </c>
      <c r="E72" s="16" t="n">
        <v>0.064</v>
      </c>
      <c r="F72" s="16" t="n">
        <v>0.07000000000000001</v>
      </c>
      <c r="G72" s="16" t="n">
        <v>0.08</v>
      </c>
      <c r="H72" s="20" t="inlineStr">
        <is>
          <t>Adjusted EBITDA (issuer KPI, net of other income) Rs 49.17 / 74.09 / 86.09 cr = 6.51% / 7.02% / 6.80% FY24-26 and 8.10% in Q1 FY27 (p. 131); reproduces from the P&amp;L. Neutral 7.0% (three-year level); Bear 6.4%; Bull 8.0% (Q1 FY27).</t>
        </is>
      </c>
    </row>
    <row r="73">
      <c r="B73" t="inlineStr">
        <is>
          <t>Net working capital % revenue</t>
        </is>
      </c>
      <c r="C73" s="23">
        <f>INDEX(E73:G73,Assumptions!$C$5)</f>
        <v/>
      </c>
      <c r="E73" s="16" t="n">
        <v>0.19</v>
      </c>
      <c r="F73" s="16" t="n">
        <v>0.18</v>
      </c>
      <c r="G73" s="16" t="n">
        <v>0.16</v>
      </c>
      <c r="H73" s="20" t="inlineStr">
        <is>
          <t>Trade working capital 17.8% / 17.0% / 18.3% of revenue FY24-26 (p. 84); issuer NWC days 66 / 63 / 70 (p. 132). Neutral 18%.</t>
        </is>
      </c>
    </row>
    <row r="74">
      <c r="B74" t="inlineStr">
        <is>
          <t>Terminal ROIC</t>
        </is>
      </c>
      <c r="C74" s="23">
        <f>INDEX(E74:G74,Assumptions!$C$5)</f>
        <v/>
      </c>
      <c r="E74" s="16" t="n">
        <v>0.13</v>
      </c>
      <c r="F74" s="16" t="n">
        <v>0.16</v>
      </c>
      <c r="G74" s="16" t="n">
        <v>0.19</v>
      </c>
      <c r="H74" s="20" t="inlineStr">
        <is>
          <t>ROCE 18.60% / 18.78% / 16.40% FY24-26 (p. 132). Neutral terminal ROIC 16%.</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BMW Industries Ltd (per share)</t>
        </is>
      </c>
      <c r="C5" s="20" t="inlineStr">
        <is>
          <t>Y</t>
        </is>
      </c>
      <c r="D5" s="20" t="inlineStr">
        <is>
          <t>Steel processing (slitting, CTL, tubes) - issuer's peer, p. 130</t>
        </is>
      </c>
      <c r="E5" s="20" t="inlineStr">
        <is>
          <t>Standalone</t>
        </is>
      </c>
      <c r="F5" s="15" t="n">
        <v>51.17</v>
      </c>
      <c r="G5" s="15" t="n">
        <v>1</v>
      </c>
      <c r="H5" s="15" t="n"/>
      <c r="I5" s="15" t="n"/>
      <c r="J5" s="15" t="n"/>
      <c r="K5" s="15" t="n">
        <v>3.35</v>
      </c>
      <c r="L5" s="15" t="n">
        <v>35.85</v>
      </c>
      <c r="M5" s="16" t="n"/>
      <c r="N5" s="13">
        <f>IF(F5="","",F5*G5)</f>
        <v/>
      </c>
      <c r="O5" s="13">
        <f>IF(N5="","",N5+H5)</f>
        <v/>
      </c>
      <c r="P5" s="27">
        <f>IF(AND(C5="Y",N(K5)&gt;0),N5/K5,"")</f>
        <v/>
      </c>
      <c r="Q5" s="27">
        <f>IF(AND(C5="Y",N(J5)&gt;0),O5/J5,"")</f>
        <v/>
      </c>
      <c r="R5" s="27">
        <f>IF(AND(C5="Y",N(L5)&gt;0),N5/L5,"")</f>
        <v/>
      </c>
      <c r="S5" s="10">
        <f>IF(N(I5)&gt;0,J5/I5,"")</f>
        <v/>
      </c>
      <c r="T5" s="10">
        <f>IF(N(L5)&gt;0,K5/L5,"")</f>
        <v/>
      </c>
    </row>
    <row r="6">
      <c r="B6" s="20" t="inlineStr">
        <is>
          <t>Manaksia Coated Metals &amp; Industries Ltd (per share)</t>
        </is>
      </c>
      <c r="C6" s="20" t="inlineStr">
        <is>
          <t>Y</t>
        </is>
      </c>
      <c r="D6" s="20" t="inlineStr">
        <is>
          <t>Coated steel sheets - issuer's peer, p. 130</t>
        </is>
      </c>
      <c r="E6" s="20" t="inlineStr">
        <is>
          <t>Standalone</t>
        </is>
      </c>
      <c r="F6" s="15" t="n">
        <v>129.69</v>
      </c>
      <c r="G6" s="15" t="n">
        <v>1</v>
      </c>
      <c r="H6" s="15" t="n"/>
      <c r="I6" s="15" t="n"/>
      <c r="J6" s="15" t="n"/>
      <c r="K6" s="15" t="n">
        <v>4.18</v>
      </c>
      <c r="L6" s="15" t="n">
        <v>32.46</v>
      </c>
      <c r="M6" s="16" t="n"/>
      <c r="N6" s="13">
        <f>IF(F6="","",F6*G6)</f>
        <v/>
      </c>
      <c r="O6" s="13">
        <f>IF(N6="","",N6+H6)</f>
        <v/>
      </c>
      <c r="P6" s="27">
        <f>IF(AND(C6="Y",N(K6)&gt;0),N6/K6,"")</f>
        <v/>
      </c>
      <c r="Q6" s="27">
        <f>IF(AND(C6="Y",N(J6)&gt;0),O6/J6,"")</f>
        <v/>
      </c>
      <c r="R6" s="27">
        <f>IF(AND(C6="Y",N(L6)&gt;0),N6/L6,"")</f>
        <v/>
      </c>
      <c r="S6" s="10">
        <f>IF(N(I6)&gt;0,J6/I6,"")</f>
        <v/>
      </c>
      <c r="T6" s="10">
        <f>IF(N(L6)&gt;0,K6/L6,"")</f>
        <v/>
      </c>
    </row>
    <row r="7">
      <c r="B7" s="20" t="inlineStr">
        <is>
          <t>Shiv Aum Steels Ltd (per share)</t>
        </is>
      </c>
      <c r="C7" s="20" t="inlineStr">
        <is>
          <t>Y</t>
        </is>
      </c>
      <c r="D7" s="20" t="inlineStr">
        <is>
          <t>Steel distribution and processing - issuer's peer, p. 130</t>
        </is>
      </c>
      <c r="E7" s="20" t="inlineStr">
        <is>
          <t>Standalone</t>
        </is>
      </c>
      <c r="F7" s="15" t="n">
        <v>539</v>
      </c>
      <c r="G7" s="15" t="n">
        <v>1</v>
      </c>
      <c r="H7" s="15" t="n"/>
      <c r="I7" s="15" t="n"/>
      <c r="J7" s="15" t="n"/>
      <c r="K7" s="15" t="n">
        <v>5.47</v>
      </c>
      <c r="L7" s="15" t="n">
        <v>88.86</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2026-10-29T09:39:14Z</dcterms:created>
  <dcterms:modified xmlns:dcterms="http://purl.org/dc/terms/" xmlns:xsi="http://www.w3.org/2001/XMLSchema-instance" xsi:type="dcterms:W3CDTF">2026-10-29T09:39:14Z</dcterms:modified>
</cp:coreProperties>
</file>