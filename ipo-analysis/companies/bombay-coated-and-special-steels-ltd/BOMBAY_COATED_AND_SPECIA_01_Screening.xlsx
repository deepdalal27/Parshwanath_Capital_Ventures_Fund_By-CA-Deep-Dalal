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Basis" sheetId="2" state="visible" r:id="rId2"/>
    <sheet xmlns:r="http://schemas.openxmlformats.org/officeDocument/2006/relationships" name="Quick Metrics" sheetId="3" state="visible" r:id="rId3"/>
    <sheet xmlns:r="http://schemas.openxmlformats.org/officeDocument/2006/relationships" name="Forensic Checks" sheetId="4" state="visible" r:id="rId4"/>
    <sheet xmlns:r="http://schemas.openxmlformats.org/officeDocument/2006/relationships" name="Work Blocks" sheetId="5" state="visible" r:id="rId5"/>
    <sheet xmlns:r="http://schemas.openxmlformats.org/officeDocument/2006/relationships" name="Data Gaps" sheetId="6" state="visible" r:id="rId6"/>
    <sheet xmlns:r="http://schemas.openxmlformats.org/officeDocument/2006/relationships" name="Scorecard" sheetId="7" state="visible" r:id="rId7"/>
  </sheets>
  <definedNames/>
  <calcPr calcId="124519" fullCalcOnLoad="1"/>
</workbook>
</file>

<file path=xl/styles.xml><?xml version="1.0" encoding="utf-8"?>
<styleSheet xmlns="http://schemas.openxmlformats.org/spreadsheetml/2006/main">
  <numFmts count="4">
    <numFmt numFmtId="164" formatCode="yyyy-mm-dd"/>
    <numFmt numFmtId="165" formatCode="dd-mmm-yyyy"/>
    <numFmt numFmtId="166" formatCode="0.0"/>
    <numFmt numFmtId="167" formatCode="0.00&quot;x&quot;"/>
  </numFmts>
  <fonts count="9">
    <font>
      <name val="Calibri"/>
      <family val="2"/>
      <color theme="1"/>
      <sz val="11"/>
      <scheme val="minor"/>
    </font>
    <font>
      <name val="Calibri"/>
      <b val="1"/>
      <color rgb="001F3864"/>
      <sz val="14"/>
    </font>
    <font>
      <name val="Calibri"/>
      <i val="1"/>
      <color rgb="00595959"/>
      <sz val="9"/>
    </font>
    <font>
      <name val="Calibri"/>
      <b val="1"/>
      <sz val="10"/>
    </font>
    <font>
      <b val="1"/>
      <color rgb="001F3864"/>
      <sz val="11"/>
    </font>
    <font>
      <name val="Calibri"/>
      <color rgb="00000000"/>
      <sz val="10"/>
    </font>
    <font>
      <name val="Calibri"/>
      <color rgb="000000FF"/>
      <sz val="10"/>
    </font>
    <font>
      <name val="Calibri"/>
      <b val="1"/>
      <color rgb="00FFFFFF"/>
      <sz val="10"/>
    </font>
    <font>
      <name val="Calibri"/>
      <color rgb="00008000"/>
      <sz val="10"/>
    </font>
  </fonts>
  <fills count="5">
    <fill>
      <patternFill/>
    </fill>
    <fill>
      <patternFill patternType="gray125"/>
    </fill>
    <fill>
      <patternFill patternType="solid">
        <fgColor rgb="00EAF1FB"/>
      </patternFill>
    </fill>
    <fill>
      <patternFill patternType="solid">
        <fgColor rgb="00FFFF00"/>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applyAlignment="1" pivotButton="0" quotePrefix="0" xfId="0">
      <alignment vertical="center" indent="6"/>
    </xf>
    <xf numFmtId="0" fontId="2" fillId="0" borderId="0" applyAlignment="1" pivotButton="0" quotePrefix="0" xfId="0">
      <alignment vertical="center" indent="6"/>
    </xf>
    <xf numFmtId="0" fontId="3" fillId="0" borderId="0" pivotButton="0" quotePrefix="0" xfId="0"/>
    <xf numFmtId="0" fontId="4" fillId="0" borderId="0" pivotButton="0" quotePrefix="0" xfId="0"/>
    <xf numFmtId="0" fontId="2" fillId="0" borderId="0" applyAlignment="1" pivotButton="0" quotePrefix="0" xfId="0">
      <alignment vertical="top" wrapText="1"/>
    </xf>
    <xf numFmtId="0" fontId="5" fillId="0" borderId="0" pivotButton="0" quotePrefix="0" xfId="0"/>
    <xf numFmtId="0" fontId="6" fillId="2" borderId="1" pivotButton="0" quotePrefix="0" xfId="0"/>
    <xf numFmtId="0" fontId="2" fillId="0" borderId="0" pivotButton="0" quotePrefix="0" xfId="0"/>
    <xf numFmtId="0" fontId="6" fillId="3" borderId="1" pivotButton="0" quotePrefix="0" xfId="0"/>
    <xf numFmtId="165" fontId="6" fillId="2" borderId="1" pivotButton="0" quotePrefix="0" xfId="0"/>
    <xf numFmtId="165" fontId="5" fillId="0" borderId="1" pivotButton="0" quotePrefix="0" xfId="0"/>
    <xf numFmtId="3" fontId="5" fillId="0" borderId="1" pivotButton="0" quotePrefix="0" xfId="0"/>
    <xf numFmtId="0" fontId="5" fillId="0" borderId="1" pivotButton="0" quotePrefix="0" xfId="0"/>
    <xf numFmtId="0" fontId="2" fillId="0" borderId="0" applyAlignment="1" pivotButton="0" quotePrefix="0" xfId="0">
      <alignment vertical="top"/>
    </xf>
    <xf numFmtId="0" fontId="7" fillId="4" borderId="1" applyAlignment="1" pivotButton="0" quotePrefix="0" xfId="0">
      <alignment vertical="center" wrapText="1"/>
    </xf>
    <xf numFmtId="4" fontId="6" fillId="2" borderId="1" pivotButton="0" quotePrefix="0" xfId="0"/>
    <xf numFmtId="10" fontId="6" fillId="2" borderId="1" pivotButton="0" quotePrefix="0" xfId="0"/>
    <xf numFmtId="10" fontId="5" fillId="0" borderId="1" pivotButton="0" quotePrefix="0" xfId="0"/>
    <xf numFmtId="4" fontId="5" fillId="0" borderId="1" pivotButton="0" quotePrefix="0" xfId="0"/>
    <xf numFmtId="166" fontId="5" fillId="0" borderId="1" pivotButton="0" quotePrefix="0" xfId="0"/>
    <xf numFmtId="166" fontId="6" fillId="2" borderId="1" pivotButton="0" quotePrefix="0" xfId="0"/>
    <xf numFmtId="2" fontId="5" fillId="0" borderId="1" pivotButton="0" quotePrefix="0" xfId="0"/>
    <xf numFmtId="2" fontId="6" fillId="2" borderId="1" pivotButton="0" quotePrefix="0" xfId="0"/>
    <xf numFmtId="167" fontId="5" fillId="0" borderId="1" pivotButton="0" quotePrefix="0" xfId="0"/>
    <xf numFmtId="167" fontId="6" fillId="2" borderId="1" pivotButton="0" quotePrefix="0" xfId="0"/>
    <xf numFmtId="0" fontId="0" fillId="0" borderId="0" applyAlignment="1" pivotButton="0" quotePrefix="0" xfId="0">
      <alignment vertical="top" wrapText="1"/>
    </xf>
    <xf numFmtId="0" fontId="6" fillId="2" borderId="1" applyAlignment="1" pivotButton="0" quotePrefix="0" xfId="0">
      <alignment vertical="top" wrapText="1"/>
    </xf>
    <xf numFmtId="0" fontId="3" fillId="0" borderId="1" pivotButton="0" quotePrefix="0" xfId="0"/>
    <xf numFmtId="0" fontId="8" fillId="0" borderId="1" pivotButton="0" quotePrefix="0" xfId="0"/>
    <xf numFmtId="0" fontId="5" fillId="3" borderId="1"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514350"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A25"/>
  <sheetViews>
    <sheetView showGridLines="0" workbookViewId="0">
      <selection activeCell="A1" sqref="A1"/>
    </sheetView>
  </sheetViews>
  <sheetFormatPr baseColWidth="8" defaultRowHeight="15"/>
  <cols>
    <col width="110" customWidth="1" min="1" max="1"/>
  </cols>
  <sheetData>
    <row r="1" ht="24" customHeight="1">
      <c r="A1" s="1" t="inlineStr">
        <is>
          <t>DRHP / RHP Screening Checklist</t>
        </is>
      </c>
    </row>
    <row r="2" ht="20" customHeight="1">
      <c r="A2" s="2" t="inlineStr">
        <is>
          <t>Parshwanath Capital Ventures Fund | SEBI Registered CAT III AIF | IN/AIF3/25-26/2108 | Fund Manager: CA Deep Dalal | Sponsor: Jignesh Shah</t>
        </is>
      </c>
    </row>
    <row r="4">
      <c r="A4" t="inlineStr">
        <is>
          <t>A DRHP is a screen; an RHP is a decision. Record the stage on 'Basis' first.</t>
        </is>
      </c>
    </row>
    <row r="5">
      <c r="A5" t="inlineStr">
        <is>
          <t>Order: Basis &gt; Quick Metrics (auto-flags) &gt; Forensic Checks &gt; Work Blocks &gt; Data Gaps &gt; Scorecard.</t>
        </is>
      </c>
    </row>
    <row r="6">
      <c r="A6" t="inlineStr">
        <is>
          <t>Two rules: never invent a figure (leave blank, log it in Data Gaps); never draft disclaimer text.</t>
        </is>
      </c>
    </row>
    <row r="7">
      <c r="A7" t="inlineStr">
        <is>
          <t>Every figure as restated, cited to the printed page. Watch for three page-numbering blocks.</t>
        </is>
      </c>
    </row>
    <row r="8">
      <c r="A8" t="inlineStr">
        <is>
          <t>If the restated-financials annexure is image-only, OCR to locate but read the image to cite.</t>
        </is>
      </c>
    </row>
    <row r="9">
      <c r="A9" t="inlineStr">
        <is>
          <t>Thresholds in grey cells on 'Quick Metrics' are house defaults and editable.</t>
        </is>
      </c>
    </row>
    <row r="10">
      <c r="A10" t="inlineStr"/>
    </row>
    <row r="11">
      <c r="A11" t="inlineStr">
        <is>
          <t>Colours: blue = input | black = formula | yellow = key cell.</t>
        </is>
      </c>
    </row>
    <row r="12">
      <c r="A12" s="3" t="inlineStr">
        <is>
          <t>Issuer build: figures from the offer document (page cites in notes). BLANK cell = declared data gap.</t>
        </is>
      </c>
    </row>
    <row r="13">
      <c r="A13" t="inlineStr"/>
    </row>
    <row r="14">
      <c r="A14"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row r="16">
      <c r="A16" s="4" t="inlineStr">
        <is>
          <t>Disclaimer and disclosures</t>
        </is>
      </c>
    </row>
    <row r="17" ht="45" customHeight="1">
      <c r="A17" s="5" t="inlineStr">
        <is>
          <t>This material is published by Parshwanath Capital Ventures Fund, a Category III Alternative Investment Fund registered with the Securities and Exchange Board of India (SEBI) under the SEBI (Alternative Investment Funds) Regulations, 2012, Registration No. IN/AIF3/25-26/2108. Fund Manager: CA Deep Dalal. Sponsor: Jignesh Shah.</t>
        </is>
      </c>
    </row>
    <row r="18" ht="60" customHeight="1">
      <c r="A18" s="5" t="inlineStr">
        <is>
          <t>This material is for information and educational purposes only. It does not constitute an offer, invitation, solicitation or recommendation to buy, sell, subscribe to or bid for any security, and it is not investment advice within the meaning of the SEBI (Investment Advisers) Regulations, 2013 or a research report within the meaning of the SEBI (Research Analysts) Regulations, 2014. Calls such as 'Subscribe', 'Neutral', 'Avoid' or 'Screen only' record the Fund's internal analytical view of an offer document and are not a recommendation to any reader.</t>
        </is>
      </c>
    </row>
    <row r="19" ht="45" customHeight="1">
      <c r="A19" s="5" t="inlineStr">
        <is>
          <t>Units of the Fund are offered only on a private placement basis to eligible investors through the Fund's Private Placement Memorandum, in accordance with the SEBI (Alternative Investment Funds) Regulations, 2012. Nothing in this material is, or should be construed as, a solicitation of investment in the Fund.</t>
        </is>
      </c>
    </row>
    <row r="20" ht="75" customHeight="1">
      <c r="A20" s="5" t="inlineStr">
        <is>
          <t>The analysis is based on offer documents (DRHP / RHP / prospectus) filed with SEBI and the stock exchanges and on other publicly available information. Figures from sources other than the offer document are identified as such and have not been independently verified. Valuation models, scenarios and projections are illustrative, depend on stated assumptions, and are not forecasts or assurances of future performance. No representation or warranty is given as to accuracy or completeness, and the Fund, its Manager, Sponsor, employees and associates accept no liability for any loss arising from the use of this material.</t>
        </is>
      </c>
    </row>
    <row r="21" ht="45" customHeight="1">
      <c r="A21" s="5" t="inlineStr">
        <is>
          <t>Disclosure of interest: the Fund, its Manager, Sponsor and their associates may apply for, bid in (including as Anchor Investor or Qualified Institutional Buyer), hold, buy or sell securities of any issuer discussed, before or after publication, and may act in a manner inconsistent with the views expressed here.</t>
        </is>
      </c>
    </row>
    <row r="22" ht="45" customHeight="1">
      <c r="A22" s="5" t="inlineStr">
        <is>
          <t>Investors should rely on their own examination of the offer document, including its risk factors, and consult their own financial, legal and tax advisers before making any investment decision. Past performance, including of any issuer or lead manager, is not indicative of future results.</t>
        </is>
      </c>
    </row>
    <row r="23" ht="15" customHeight="1">
      <c r="A23" s="5" t="inlineStr">
        <is>
          <t>Investments in securities market are subject to market risks. Read all the related documents carefully before investing.</t>
        </is>
      </c>
    </row>
    <row r="24" ht="15" customHeight="1">
      <c r="A24" s="5" t="inlineStr">
        <is>
          <t>Registration granted by SEBI in no way guarantees performance of the Fund or its Manager or provides any assurance of returns to investors.</t>
        </is>
      </c>
    </row>
    <row r="25" ht="15" customHeight="1">
      <c r="A25" s="5" t="inlineStr">
        <is>
          <t>Investor grievances: fundmanager@parshwanath.in. Complaints may also be lodged with SEBI through SCORES at https://scores.sebi.gov.in.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2" customWidth="1" min="1" max="1"/>
    <col width="44" customWidth="1" min="2" max="2"/>
    <col width="44" customWidth="1" min="3" max="3"/>
    <col width="8" customWidth="1" min="4" max="4"/>
    <col width="50" customWidth="1" min="5" max="5"/>
  </cols>
  <sheetData>
    <row r="1" ht="24" customHeight="1">
      <c r="A1" s="1" t="inlineStr">
        <is>
          <t>Basis and staleness banner</t>
        </is>
      </c>
    </row>
    <row r="2" ht="20" customHeight="1">
      <c r="A2" s="2" t="inlineStr">
        <is>
          <t>Parshwanath Capital Ventures Fund | SEBI Registered CAT III AIF | IN/AIF3/25-26/2108 | Fund Manager: CA Deep Dalal | Sponsor: Jignesh Shah</t>
        </is>
      </c>
    </row>
    <row r="4">
      <c r="B4" s="4" t="inlineStr">
        <is>
          <t>Document</t>
        </is>
      </c>
    </row>
    <row r="5">
      <c r="B5" s="6" t="inlineStr">
        <is>
          <t>Issuer</t>
        </is>
      </c>
      <c r="C5" s="7" t="inlineStr">
        <is>
          <t>Bombay Coated and Special Steels Limited</t>
        </is>
      </c>
      <c r="D5" s="8" t="inlineStr"/>
    </row>
    <row r="6">
      <c r="B6" s="6" t="inlineStr">
        <is>
          <t>Platform</t>
        </is>
      </c>
      <c r="C6" s="7" t="inlineStr">
        <is>
          <t>Mainboard</t>
        </is>
      </c>
      <c r="D6" s="8" t="inlineStr"/>
    </row>
    <row r="7">
      <c r="B7" s="6" t="inlineStr">
        <is>
          <t>Stage</t>
        </is>
      </c>
      <c r="C7" s="9" t="inlineStr">
        <is>
          <t>RHP</t>
        </is>
      </c>
      <c r="D7" s="8" t="inlineStr"/>
    </row>
    <row r="8">
      <c r="B8" s="6" t="inlineStr">
        <is>
          <t>Document date</t>
        </is>
      </c>
      <c r="C8" s="10" t="n">
        <v>46316</v>
      </c>
      <c r="D8" s="8" t="inlineStr"/>
    </row>
    <row r="9">
      <c r="B9" s="6" t="inlineStr">
        <is>
          <t>Audited financials up to</t>
        </is>
      </c>
      <c r="C9" s="10" t="n">
        <v>46203</v>
      </c>
      <c r="D9" s="8" t="inlineStr"/>
    </row>
    <row r="10">
      <c r="B10" s="6" t="inlineStr">
        <is>
          <t>Today</t>
        </is>
      </c>
      <c r="C10" s="11">
        <f>TODAY()</f>
        <v/>
      </c>
      <c r="D10" s="8" t="inlineStr"/>
    </row>
    <row r="11">
      <c r="B11" s="6" t="inlineStr">
        <is>
          <t>Staleness (days since audited period end)</t>
        </is>
      </c>
      <c r="C11" s="12">
        <f>'Basis'!$C$10-'Basis'!$C$9</f>
        <v/>
      </c>
      <c r="D11" s="8" t="inlineStr"/>
    </row>
    <row r="12">
      <c r="B12" s="6" t="inlineStr">
        <is>
          <t>Staleness flag</t>
        </is>
      </c>
      <c r="C12" s="13">
        <f>IF('Basis'!$C$11&gt;365,"RED: audited record over a year old - commit no capital until the RHP is read",IF('Basis'!$C$11&gt;180,"AMBER: RHP must carry financials no more than six months stale","OK"))</f>
        <v/>
      </c>
      <c r="D12" s="8" t="inlineStr"/>
    </row>
    <row r="13">
      <c r="B13" s="6" t="inlineStr">
        <is>
          <t>Price band announced?</t>
        </is>
      </c>
      <c r="C13" s="7" t="inlineStr">
        <is>
          <t>Yes</t>
        </is>
      </c>
      <c r="D13" s="8" t="inlineStr"/>
    </row>
    <row r="14">
      <c r="B14" s="6" t="inlineStr">
        <is>
          <t>Book running lead manager(s)</t>
        </is>
      </c>
      <c r="C14" s="7" t="inlineStr">
        <is>
          <t>Smart Horizon Capital Advisors Private Limited</t>
        </is>
      </c>
      <c r="D14" s="8" t="inlineStr"/>
      <c r="E14" s="14" t="inlineStr">
        <is>
          <t>Compile BRLM track record (CIR/MIRSD/1/2012)</t>
        </is>
      </c>
    </row>
    <row r="15">
      <c r="B15" s="6" t="inlineStr">
        <is>
          <t>Figures from outside the offer document</t>
        </is>
      </c>
      <c r="C15" s="7" t="inlineStr">
        <is>
          <t>none (all figures from the RHP; band, lot and size also on the NSE issue page)</t>
        </is>
      </c>
      <c r="D15" s="8" t="inlineStr"/>
    </row>
    <row r="17">
      <c r="B17" s="4" t="inlineStr">
        <is>
          <t>Trade being underwritten</t>
        </is>
      </c>
    </row>
    <row r="18">
      <c r="B18" s="6" t="inlineStr">
        <is>
          <t>Bid category</t>
        </is>
      </c>
      <c r="C18" s="7" t="inlineStr">
        <is>
          <t>Anchor</t>
        </is>
      </c>
      <c r="D18" s="8" t="inlineStr"/>
    </row>
    <row r="19">
      <c r="B19" s="6" t="inlineStr">
        <is>
          <t>Exit route underwritten</t>
        </is>
      </c>
      <c r="C19" s="9" t="inlineStr">
        <is>
          <t>2-3 year hold (assumed)</t>
        </is>
      </c>
      <c r="D19" s="8" t="inlineStr"/>
      <c r="E19" s="14" t="inlineStr">
        <is>
          <t>Ask per issuer; default is the 2-3 year hold</t>
        </is>
      </c>
    </row>
    <row r="20">
      <c r="B20" s="6" t="inlineStr">
        <is>
          <t>Bid category vs exit route</t>
        </is>
      </c>
      <c r="C20" s="13">
        <f>IF(AND('Basis'!$C$18="Anchor",'Basis'!$C$19="Listing day"),"INCONSISTENT: anchor allotment is locked in 30/90 days - cannot exit on listing day","OK")</f>
        <v/>
      </c>
      <c r="D20" s="8" t="inlineStr"/>
    </row>
    <row r="21">
      <c r="B21" s="6" t="inlineStr">
        <is>
          <t>Operative valuation tool</t>
        </is>
      </c>
      <c r="C21" s="13">
        <f>IF('Basis'!$C$19="Listing day","Listing-day framework (DCF used only as a floor test)","DCF governs (intrinsic value over the hold)")</f>
        <v/>
      </c>
      <c r="D21" s="8" t="inlineStr"/>
    </row>
  </sheetData>
  <conditionalFormatting sqref="C1:C40">
    <cfRule type="expression" priority="1" dxfId="0">
      <formula>LEFT(C1,3)="RED"</formula>
    </cfRule>
    <cfRule type="expression" priority="2" dxfId="0">
      <formula>LEFT(C1,4)="FAIL"</formula>
    </cfRule>
    <cfRule type="expression" priority="3" dxfId="0">
      <formula>LEFT(C1,12)="INCONSISTENT"</formula>
    </cfRule>
    <cfRule type="expression" priority="4" dxfId="0">
      <formula>LEFT(C1,10)="DEGENERATE"</formula>
    </cfRule>
    <cfRule type="expression" priority="5" dxfId="1">
      <formula>LEFT(C1,5)="AMBER"</formula>
    </cfRule>
    <cfRule type="expression" priority="6" dxfId="1">
      <formula>LEFT(C1,5)="WATCH"</formula>
    </cfRule>
    <cfRule type="expression" priority="7" dxfId="2">
      <formula>LEFT(C1,2)="OK"</formula>
    </cfRule>
    <cfRule type="expression" priority="8" dxfId="2">
      <formula>LEFT(C1,4)="PASS"</formula>
    </cfRule>
  </conditionalFormatting>
  <dataValidations count="5">
    <dataValidation sqref="C6" showDropDown="0" showInputMessage="0" showErrorMessage="0" allowBlank="1" type="list">
      <formula1>"Mainboard,SME"</formula1>
    </dataValidation>
    <dataValidation sqref="C7" showDropDown="0" showInputMessage="0" showErrorMessage="0" allowBlank="1" type="list">
      <formula1>"DRHP,RHP,Addendum,Prospectus"</formula1>
    </dataValidation>
    <dataValidation sqref="C13" showDropDown="0" showInputMessage="0" showErrorMessage="0" allowBlank="1" type="list">
      <formula1>"Yes,No"</formula1>
    </dataValidation>
    <dataValidation sqref="C18" showDropDown="0" showInputMessage="0" showErrorMessage="0" allowBlank="1" type="list">
      <formula1>"Anchor,QIB (non-anchor),NII"</formula1>
    </dataValidation>
    <dataValidation sqref="C19" showDropDown="0" showInputMessage="0" showErrorMessage="0" allowBlank="1" type="list">
      <formula1>"2-3 year hold (assumed),2-3 year hold (confirmed),Lock-in expiry (30/90 days),Listing day"</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55"/>
  <sheetViews>
    <sheetView showGridLines="0" workbookViewId="0">
      <selection activeCell="A1" sqref="A1"/>
    </sheetView>
  </sheetViews>
  <sheetFormatPr baseColWidth="8" defaultRowHeight="15"/>
  <cols>
    <col width="2" customWidth="1" min="1" max="1"/>
    <col width="50" customWidth="1" min="2" max="2"/>
    <col width="14" customWidth="1" min="3" max="3"/>
    <col width="14" customWidth="1" min="4" max="4"/>
    <col width="16" customWidth="1" min="5" max="5"/>
    <col width="22" customWidth="1" min="6" max="6"/>
    <col width="14" customWidth="1" min="7" max="7"/>
  </cols>
  <sheetData>
    <row r="1" ht="24" customHeight="1">
      <c r="A1" s="1" t="inlineStr">
        <is>
          <t>Quick forensic metrics (Rs cr) - restated, as reported; stub never annualised</t>
        </is>
      </c>
    </row>
    <row r="2" ht="20" customHeight="1">
      <c r="A2" s="2" t="inlineStr">
        <is>
          <t>Parshwanath Capital Ventures Fund | SEBI Registered CAT III AIF | IN/AIF3/25-26/2108 | Fund Manager: CA Deep Dalal | Sponsor: Jignesh Shah</t>
        </is>
      </c>
    </row>
    <row r="4">
      <c r="B4" s="15" t="inlineStr">
        <is>
          <t>Line item</t>
        </is>
      </c>
      <c r="C4" s="15" t="inlineStr">
        <is>
          <t>FY-3</t>
        </is>
      </c>
      <c r="D4" s="15" t="inlineStr">
        <is>
          <t>FY-2</t>
        </is>
      </c>
      <c r="E4" s="15" t="inlineStr">
        <is>
          <t>FY-1 (latest)</t>
        </is>
      </c>
      <c r="F4" s="15" t="inlineStr">
        <is>
          <t>Stub (as reported)</t>
        </is>
      </c>
      <c r="G4" s="15" t="inlineStr">
        <is>
          <t>Page cite</t>
        </is>
      </c>
    </row>
    <row r="5">
      <c r="B5" t="inlineStr">
        <is>
          <t>Revenue from operations</t>
        </is>
      </c>
      <c r="C5" s="16" t="n">
        <v>755.259</v>
      </c>
      <c r="D5" s="16" t="n">
        <v>1055.707</v>
      </c>
      <c r="E5" s="16" t="n">
        <v>1266.818</v>
      </c>
      <c r="F5" s="16" t="n">
        <v>397.08</v>
      </c>
      <c r="G5" s="7" t="inlineStr">
        <is>
          <t>p. 85</t>
        </is>
      </c>
    </row>
    <row r="6">
      <c r="B6" t="inlineStr">
        <is>
          <t>Other income</t>
        </is>
      </c>
      <c r="C6" s="16" t="n">
        <v>10.153</v>
      </c>
      <c r="D6" s="16" t="n">
        <v>2.938</v>
      </c>
      <c r="E6" s="16" t="n">
        <v>3.007</v>
      </c>
      <c r="F6" s="16" t="n">
        <v>0.466</v>
      </c>
      <c r="G6" s="7" t="inlineStr">
        <is>
          <t>pp. 85, 375</t>
        </is>
      </c>
    </row>
    <row r="7">
      <c r="B7" t="inlineStr">
        <is>
          <t>Profit before tax</t>
        </is>
      </c>
      <c r="C7" s="16" t="n">
        <v>28.206</v>
      </c>
      <c r="D7" s="16" t="n">
        <v>37.165</v>
      </c>
      <c r="E7" s="16" t="n">
        <v>40.788</v>
      </c>
      <c r="F7" s="16" t="n">
        <v>20.646</v>
      </c>
      <c r="G7" s="7" t="inlineStr">
        <is>
          <t>p. 85</t>
        </is>
      </c>
    </row>
    <row r="8">
      <c r="B8" t="inlineStr">
        <is>
          <t>Current tax</t>
        </is>
      </c>
      <c r="C8" s="16" t="n">
        <v>5.703</v>
      </c>
      <c r="D8" s="16" t="n">
        <v>7.124</v>
      </c>
      <c r="E8" s="16" t="n">
        <v>8.023999999999999</v>
      </c>
      <c r="F8" s="16" t="n">
        <v>4.857</v>
      </c>
      <c r="G8" s="7" t="inlineStr">
        <is>
          <t>p. 85 (incl. earlier years)</t>
        </is>
      </c>
    </row>
    <row r="9">
      <c r="B9" t="inlineStr">
        <is>
          <t>Deferred tax</t>
        </is>
      </c>
      <c r="C9" s="16" t="n">
        <v>1.365</v>
      </c>
      <c r="D9" s="16" t="n">
        <v>1.369</v>
      </c>
      <c r="E9" s="16" t="n">
        <v>2.225</v>
      </c>
      <c r="F9" s="16" t="n">
        <v>0.714</v>
      </c>
      <c r="G9" s="7" t="inlineStr">
        <is>
          <t>p. 85</t>
        </is>
      </c>
    </row>
    <row r="10">
      <c r="B10" t="inlineStr">
        <is>
          <t>PAT</t>
        </is>
      </c>
      <c r="C10" s="16" t="n">
        <v>21.138</v>
      </c>
      <c r="D10" s="16" t="n">
        <v>28.672</v>
      </c>
      <c r="E10" s="16" t="n">
        <v>30.539</v>
      </c>
      <c r="F10" s="16" t="n">
        <v>15.075</v>
      </c>
      <c r="G10" s="7" t="inlineStr">
        <is>
          <t>p. 85</t>
        </is>
      </c>
    </row>
    <row r="11">
      <c r="B11" t="inlineStr">
        <is>
          <t>Cash flow from operations</t>
        </is>
      </c>
      <c r="C11" s="16" t="n">
        <v>11.487</v>
      </c>
      <c r="D11" s="16" t="n">
        <v>32.09</v>
      </c>
      <c r="E11" s="16" t="n">
        <v>10.217</v>
      </c>
      <c r="F11" s="16" t="n">
        <v>72.30500000000001</v>
      </c>
      <c r="G11" s="7" t="inlineStr">
        <is>
          <t>p. 86</t>
        </is>
      </c>
    </row>
    <row r="12">
      <c r="B12" t="inlineStr">
        <is>
          <t>Related-party sales</t>
        </is>
      </c>
      <c r="C12" s="16" t="n">
        <v>0</v>
      </c>
      <c r="D12" s="16" t="n">
        <v>0</v>
      </c>
      <c r="E12" s="16" t="n">
        <v>0</v>
      </c>
      <c r="F12" s="16" t="n">
        <v>0</v>
      </c>
      <c r="G12" s="7" t="inlineStr">
        <is>
          <t>pp. 89-92 (no sales to related parties)</t>
        </is>
      </c>
    </row>
    <row r="13">
      <c r="B13" t="inlineStr">
        <is>
          <t>Related-party purchases (incl. capex)</t>
        </is>
      </c>
      <c r="C13" s="16" t="n">
        <v>1.698</v>
      </c>
      <c r="D13" s="16" t="n">
        <v>2.987</v>
      </c>
      <c r="E13" s="16" t="n">
        <v>3.6</v>
      </c>
      <c r="F13" s="16" t="n">
        <v>0.763</v>
      </c>
      <c r="G13" s="7" t="inlineStr">
        <is>
          <t>pp. 89-92 (interest on promoter-family loans and rent paid to promoters)</t>
        </is>
      </c>
    </row>
    <row r="14">
      <c r="B14" t="inlineStr">
        <is>
          <t>Net worth</t>
        </is>
      </c>
      <c r="C14" s="16" t="n">
        <v>54.359</v>
      </c>
      <c r="D14" s="16" t="n">
        <v>83.047</v>
      </c>
      <c r="E14" s="16" t="n">
        <v>121.581</v>
      </c>
      <c r="F14" s="16" t="n">
        <v>136.615</v>
      </c>
      <c r="G14" s="7" t="inlineStr">
        <is>
          <t>p. 84</t>
        </is>
      </c>
    </row>
    <row r="15">
      <c r="B15" t="inlineStr">
        <is>
          <t>Trade receivables</t>
        </is>
      </c>
      <c r="C15" s="16" t="n">
        <v>106.151</v>
      </c>
      <c r="D15" s="16" t="n">
        <v>136.729</v>
      </c>
      <c r="E15" s="16" t="n">
        <v>128.922</v>
      </c>
      <c r="F15" s="16" t="n">
        <v>165.41</v>
      </c>
      <c r="G15" s="7" t="inlineStr">
        <is>
          <t>p. 84</t>
        </is>
      </c>
    </row>
    <row r="16">
      <c r="B16" t="inlineStr">
        <is>
          <t>Inventory</t>
        </is>
      </c>
      <c r="C16" s="16" t="n">
        <v>84.31999999999999</v>
      </c>
      <c r="D16" s="16" t="n">
        <v>115.727</v>
      </c>
      <c r="E16" s="16" t="n">
        <v>189.327</v>
      </c>
      <c r="F16" s="16" t="n">
        <v>125.46</v>
      </c>
      <c r="G16" s="7" t="inlineStr">
        <is>
          <t>p. 84</t>
        </is>
      </c>
    </row>
    <row r="17">
      <c r="B17" t="inlineStr">
        <is>
          <t>Trade payables</t>
        </is>
      </c>
      <c r="C17" s="16" t="n">
        <v>56.065</v>
      </c>
      <c r="D17" s="16" t="n">
        <v>72.965</v>
      </c>
      <c r="E17" s="16" t="n">
        <v>86.04900000000001</v>
      </c>
      <c r="F17" s="16" t="n">
        <v>85.96599999999999</v>
      </c>
      <c r="G17" s="7" t="inlineStr">
        <is>
          <t>p. 84</t>
        </is>
      </c>
    </row>
    <row r="18">
      <c r="B18" t="inlineStr">
        <is>
          <t>Contingent liabilities</t>
        </is>
      </c>
      <c r="C18" s="16" t="n">
        <v>0</v>
      </c>
      <c r="D18" s="16" t="n">
        <v>0</v>
      </c>
      <c r="E18" s="16" t="n">
        <v>0</v>
      </c>
      <c r="F18" s="16" t="n">
        <v>0</v>
      </c>
      <c r="G18" s="7" t="inlineStr">
        <is>
          <t>p. 87 (no contingent liabilities; capital commitments Rs 9.83 cr at Jun-26)</t>
        </is>
      </c>
    </row>
    <row r="19">
      <c r="B19" t="inlineStr">
        <is>
          <t>Goodwill + intangibles</t>
        </is>
      </c>
      <c r="C19" s="16" t="n">
        <v>0</v>
      </c>
      <c r="D19" s="16" t="n">
        <v>0</v>
      </c>
      <c r="E19" s="16" t="n">
        <v>0</v>
      </c>
      <c r="F19" s="16" t="n">
        <v>0</v>
      </c>
      <c r="G19" s="7" t="inlineStr">
        <is>
          <t>p. 84</t>
        </is>
      </c>
    </row>
    <row r="20">
      <c r="B20" t="inlineStr">
        <is>
          <t>Revaluation reserve</t>
        </is>
      </c>
      <c r="C20" s="16" t="n"/>
      <c r="D20" s="16" t="n"/>
      <c r="E20" s="16" t="n"/>
      <c r="F20" s="16" t="n"/>
      <c r="G20" s="7" t="inlineStr"/>
    </row>
    <row r="22">
      <c r="B22" s="3" t="inlineStr">
        <is>
          <t>Single-period inputs (latest)</t>
        </is>
      </c>
    </row>
    <row r="23">
      <c r="B23" t="inlineStr">
        <is>
          <t>Top customer % of revenue</t>
        </is>
      </c>
      <c r="E23" s="17" t="n">
        <v>0.204</v>
      </c>
    </row>
    <row r="24">
      <c r="B24" t="inlineStr">
        <is>
          <t>Top-10 customers % of revenue</t>
        </is>
      </c>
      <c r="E24" s="17" t="n">
        <v>0.7133</v>
      </c>
    </row>
    <row r="25">
      <c r="B25" t="inlineStr">
        <is>
          <t>Top supplier % of purchases</t>
        </is>
      </c>
      <c r="E25" s="17" t="n">
        <v>0.8665</v>
      </c>
    </row>
    <row r="26">
      <c r="B26" t="inlineStr">
        <is>
          <t>Largest state/country % of revenue</t>
        </is>
      </c>
      <c r="E26" s="17" t="n">
        <v>1</v>
      </c>
    </row>
    <row r="27">
      <c r="B27" t="inlineStr">
        <is>
          <t>Fresh issue net of expenses</t>
        </is>
      </c>
      <c r="E27" s="16" t="n"/>
    </row>
    <row r="28">
      <c r="B28" t="inlineStr">
        <is>
          <t>Promoter weighted avg cost of acquisition (Rs)</t>
        </is>
      </c>
      <c r="E28" s="16" t="n"/>
    </row>
    <row r="29">
      <c r="B29" t="inlineStr">
        <is>
          <t>Offer price / cap (Rs)</t>
        </is>
      </c>
      <c r="E29" s="16" t="n">
        <v>183.057</v>
      </c>
    </row>
    <row r="31">
      <c r="B31" s="3" t="inlineStr">
        <is>
          <t>Auto metrics</t>
        </is>
      </c>
    </row>
    <row r="32">
      <c r="B32" s="15" t="inlineStr">
        <is>
          <t>Metric</t>
        </is>
      </c>
      <c r="C32" s="15" t="inlineStr">
        <is>
          <t>Value</t>
        </is>
      </c>
      <c r="D32" s="15" t="inlineStr">
        <is>
          <t>Threshold</t>
        </is>
      </c>
      <c r="E32" s="15" t="inlineStr">
        <is>
          <t>Flag</t>
        </is>
      </c>
      <c r="F32" s="15" t="inlineStr">
        <is>
          <t>Forensic check / block</t>
        </is>
      </c>
    </row>
    <row r="33">
      <c r="B33" t="inlineStr">
        <is>
          <t>Cumulative CFO / cumulative PAT (3 yrs)</t>
        </is>
      </c>
      <c r="C33" s="18">
        <f>IF(OR(ISBLANK($E$10),ISBLANK($E$11)),"",SUM($C$11:$E$11)/SUM($C$10:$E$10))</f>
        <v/>
      </c>
      <c r="D33" s="17" t="n">
        <v>0.7</v>
      </c>
      <c r="E33" s="13">
        <f>IF(NOT(ISNUMBER(C33)),"-",IF(C33&lt;D33,"WATCH","OK"))</f>
        <v/>
      </c>
      <c r="F33" t="inlineStr">
        <is>
          <t>Check 2 / Block 1</t>
        </is>
      </c>
    </row>
    <row r="34">
      <c r="B34" t="inlineStr">
        <is>
          <t>Cumulative cash tax rate (current tax / PBT)</t>
        </is>
      </c>
      <c r="C34" s="18">
        <f>IF(OR(ISBLANK($E$7),ISBLANK($E$8)),"",SUM($C$8:$E$8)/SUM($C$7:$E$7))</f>
        <v/>
      </c>
      <c r="D34" s="17" t="n">
        <v>0.15</v>
      </c>
      <c r="E34" s="13">
        <f>IF(NOT(ISNUMBER(C34)),"-",IF(C34&lt;D34,"WATCH","OK"))</f>
        <v/>
      </c>
      <c r="F34" t="inlineStr">
        <is>
          <t>Check 3</t>
        </is>
      </c>
    </row>
    <row r="35">
      <c r="B35" t="inlineStr">
        <is>
          <t>Deferred tax share of total tax (latest)</t>
        </is>
      </c>
      <c r="C35" s="18">
        <f>IF(OR(ISBLANK($E$8),ISBLANK($E$9)),"",$E$9/($E$8+$E$9))</f>
        <v/>
      </c>
      <c r="D35" s="17" t="n">
        <v>0.5</v>
      </c>
      <c r="E35" s="13">
        <f>IF(NOT(ISNUMBER(C35)),"-",IF(C35&gt;D35,"WATCH","OK"))</f>
        <v/>
      </c>
      <c r="F35" t="inlineStr">
        <is>
          <t>Check 3</t>
        </is>
      </c>
    </row>
    <row r="36">
      <c r="B36" t="inlineStr">
        <is>
          <t>Other income % of PBT (latest)</t>
        </is>
      </c>
      <c r="C36" s="18">
        <f>IF(OR(ISBLANK($E$6),ISBLANK($E$7)),"",$E$6/$E$7)</f>
        <v/>
      </c>
      <c r="D36" s="17" t="n">
        <v>0.15</v>
      </c>
      <c r="E36" s="13">
        <f>IF(NOT(ISNUMBER(C36)),"-",IF(C36&gt;D36,"WATCH","OK"))</f>
        <v/>
      </c>
      <c r="F36" t="inlineStr">
        <is>
          <t>Block 1</t>
        </is>
      </c>
    </row>
    <row r="37">
      <c r="B37" t="inlineStr">
        <is>
          <t>RPT sales % of revenue (latest)</t>
        </is>
      </c>
      <c r="C37" s="18">
        <f>IF(OR(ISBLANK($E$12),ISBLANK($E$5)),"",$E$12/$E$5)</f>
        <v/>
      </c>
      <c r="D37" s="17" t="n">
        <v>0.02</v>
      </c>
      <c r="E37" s="13">
        <f>IF(NOT(ISNUMBER(C37)),"-",IF(C37&gt;D37,"WATCH","OK"))</f>
        <v/>
      </c>
      <c r="F37" t="inlineStr">
        <is>
          <t>Block 9 (2% flag)</t>
        </is>
      </c>
    </row>
    <row r="38">
      <c r="B38" t="inlineStr">
        <is>
          <t>RPT purchases % of net worth (latest)</t>
        </is>
      </c>
      <c r="C38" s="18">
        <f>IF(OR(ISBLANK($E$13),ISBLANK($E$14)),"",$E$13/$E$14)</f>
        <v/>
      </c>
      <c r="D38" s="17" t="n">
        <v>0.02</v>
      </c>
      <c r="E38" s="13">
        <f>IF(NOT(ISNUMBER(C38)),"-",IF(C38&gt;D38,"WATCH","OK"))</f>
        <v/>
      </c>
      <c r="F38" t="inlineStr">
        <is>
          <t>Check 4 / Block 9</t>
        </is>
      </c>
    </row>
    <row r="39">
      <c r="B39" t="inlineStr">
        <is>
          <t>RPT share of revenue growth (FY-2 to latest)</t>
        </is>
      </c>
      <c r="C39" s="18">
        <f>IF(OR(ISBLANK($E$12),ISBLANK($E$5)),"",IFERROR(($E$12-$D$12)/($E$5-$D$5),""))</f>
        <v/>
      </c>
      <c r="D39" s="17" t="n">
        <v>0.1</v>
      </c>
      <c r="E39" s="13">
        <f>IF(NOT(ISNUMBER(C39)),"-",IF(C39&gt;D39,"WATCH","OK"))</f>
        <v/>
      </c>
      <c r="F39" t="inlineStr">
        <is>
          <t>Block 4</t>
        </is>
      </c>
    </row>
    <row r="40">
      <c r="B40" t="inlineStr">
        <is>
          <t>Top customer concentration</t>
        </is>
      </c>
      <c r="C40" s="18">
        <f>IF(OR(ISBLANK($E$23)),"",$E$23)</f>
        <v/>
      </c>
      <c r="D40" s="17" t="n">
        <v>0.5</v>
      </c>
      <c r="E40" s="13">
        <f>IF(NOT(ISNUMBER(C40)),"-",IF(C40&gt;D40,"WATCH","OK"))</f>
        <v/>
      </c>
      <c r="F40" t="inlineStr">
        <is>
          <t>Check 8</t>
        </is>
      </c>
    </row>
    <row r="41">
      <c r="B41" t="inlineStr">
        <is>
          <t>Top-10 customer concentration</t>
        </is>
      </c>
      <c r="C41" s="18">
        <f>IF(OR(ISBLANK($E$24)),"",$E$24)</f>
        <v/>
      </c>
      <c r="D41" s="17" t="n">
        <v>0.8</v>
      </c>
      <c r="E41" s="13">
        <f>IF(NOT(ISNUMBER(C41)),"-",IF(C41&gt;D41,"WATCH","OK"))</f>
        <v/>
      </c>
      <c r="F41" t="inlineStr">
        <is>
          <t>Check 8</t>
        </is>
      </c>
    </row>
    <row r="42">
      <c r="B42" t="inlineStr">
        <is>
          <t>Top supplier concentration</t>
        </is>
      </c>
      <c r="C42" s="18">
        <f>IF(OR(ISBLANK($E$25)),"",$E$25)</f>
        <v/>
      </c>
      <c r="D42" s="17" t="n">
        <v>0.5</v>
      </c>
      <c r="E42" s="13">
        <f>IF(NOT(ISNUMBER(C42)),"-",IF(C42&gt;D42,"WATCH","OK"))</f>
        <v/>
      </c>
      <c r="F42" t="inlineStr">
        <is>
          <t>Check 8 (supply side)</t>
        </is>
      </c>
    </row>
    <row r="43">
      <c r="B43" t="inlineStr">
        <is>
          <t>Geographic concentration</t>
        </is>
      </c>
      <c r="C43" s="18">
        <f>IF(OR(ISBLANK($E$26)),"",$E$26)</f>
        <v/>
      </c>
      <c r="D43" s="17" t="n">
        <v>0.8</v>
      </c>
      <c r="E43" s="13">
        <f>IF(NOT(ISNUMBER(C43)),"-",IF(C43&gt;D43,"WATCH","OK"))</f>
        <v/>
      </c>
      <c r="F43" t="inlineStr">
        <is>
          <t>Check 8</t>
        </is>
      </c>
    </row>
    <row r="44">
      <c r="B44" t="inlineStr">
        <is>
          <t>Contingent liabilities / net worth</t>
        </is>
      </c>
      <c r="C44" s="18">
        <f>IF(OR(ISBLANK($E$14),ISBLANK($E$18)),"",$E$18/$E$14)</f>
        <v/>
      </c>
      <c r="D44" s="17" t="n">
        <v>0.25</v>
      </c>
      <c r="E44" s="13">
        <f>IF(NOT(ISNUMBER(C44)),"-",IF(C44&gt;D44,"WATCH","OK"))</f>
        <v/>
      </c>
      <c r="F44" t="inlineStr">
        <is>
          <t>Check 9</t>
        </is>
      </c>
    </row>
    <row r="45">
      <c r="B45" t="inlineStr">
        <is>
          <t>Goodwill + intangibles / net worth</t>
        </is>
      </c>
      <c r="C45" s="18">
        <f>IF(OR(ISBLANK($E$14),ISBLANK($E$19)),"",$E$19/$E$14)</f>
        <v/>
      </c>
      <c r="D45" s="17" t="n">
        <v>0.3</v>
      </c>
      <c r="E45" s="13">
        <f>IF(NOT(ISNUMBER(C45)),"-",IF(C45&gt;D45,"WATCH","OK"))</f>
        <v/>
      </c>
      <c r="F45" t="inlineStr">
        <is>
          <t>Check 7</t>
        </is>
      </c>
    </row>
    <row r="46">
      <c r="B46" t="inlineStr">
        <is>
          <t>Revaluation reserve (any non-zero fails)</t>
        </is>
      </c>
      <c r="C46" s="19">
        <f>IF(OR(ISBLANK($E$20)),"",$E$20)</f>
        <v/>
      </c>
      <c r="D46" s="16" t="n">
        <v>0</v>
      </c>
      <c r="E46" s="13">
        <f>IF(NOT(ISNUMBER(C46)),"-",IF(C46&gt;D46,"WATCH","OK"))</f>
        <v/>
      </c>
      <c r="F46" t="inlineStr">
        <is>
          <t>Check 6</t>
        </is>
      </c>
    </row>
    <row r="47">
      <c r="B47" t="inlineStr">
        <is>
          <t>Receivable days (closing, latest)</t>
        </is>
      </c>
      <c r="C47" s="20">
        <f>IF(OR(ISBLANK($E$15),ISBLANK($E$5)),"",$E$15/$E$5*365)</f>
        <v/>
      </c>
      <c r="D47" s="21" t="n">
        <v>90</v>
      </c>
      <c r="E47" s="13">
        <f>IF(NOT(ISNUMBER(C47)),"-",IF(C47&gt;D47,"WATCH","OK"))</f>
        <v/>
      </c>
      <c r="F47" t="inlineStr">
        <is>
          <t>Block 3</t>
        </is>
      </c>
    </row>
    <row r="48">
      <c r="B48" t="inlineStr">
        <is>
          <t>Inventory days (closing, on revenue)</t>
        </is>
      </c>
      <c r="C48" s="20">
        <f>IF(OR(ISBLANK($E$16),ISBLANK($E$5)),"",$E$16/$E$5*365)</f>
        <v/>
      </c>
      <c r="D48" s="21" t="n">
        <v>90</v>
      </c>
      <c r="E48" s="13">
        <f>IF(NOT(ISNUMBER(C48)),"-",IF(C48&gt;D48,"WATCH","OK"))</f>
        <v/>
      </c>
      <c r="F48" t="inlineStr">
        <is>
          <t>Block 3</t>
        </is>
      </c>
    </row>
    <row r="49">
      <c r="B49" t="inlineStr">
        <is>
          <t>Trade NWC % of revenue (latest)</t>
        </is>
      </c>
      <c r="C49" s="18">
        <f>IF(OR(ISBLANK($E$15),ISBLANK($E$16),ISBLANK($E$17),ISBLANK($E$5)),"",($E$15+$E$16-$E$17)/$E$5)</f>
        <v/>
      </c>
      <c r="D49" s="17" t="n">
        <v>0.25</v>
      </c>
      <c r="E49" s="13">
        <f>IF(NOT(ISNUMBER(C49)),"-",IF(C49&gt;D49,"WATCH","OK"))</f>
        <v/>
      </c>
      <c r="F49" t="inlineStr">
        <is>
          <t>Block 2</t>
        </is>
      </c>
    </row>
    <row r="50">
      <c r="B50" t="inlineStr">
        <is>
          <t>Incremental trade NWC per Rs of incremental revenue</t>
        </is>
      </c>
      <c r="C50" s="22">
        <f>IF(OR(ISBLANK($E$15),ISBLANK($E$16),ISBLANK($E$17),ISBLANK($E$5)),"",(($E$15+$E$16-$E$17)-($D$15+$D$16-$D$17))/($E$5-$D$5))</f>
        <v/>
      </c>
      <c r="D50" s="23" t="n">
        <v>0.3</v>
      </c>
      <c r="E50" s="13">
        <f>IF(NOT(ISNUMBER(C50)),"-",IF(C50&gt;D50,"WATCH","OK"))</f>
        <v/>
      </c>
      <c r="F50" t="inlineStr">
        <is>
          <t>Block 2</t>
        </is>
      </c>
    </row>
    <row r="51">
      <c r="B51" t="inlineStr">
        <is>
          <t>ROE pre-issue (latest)</t>
        </is>
      </c>
      <c r="C51" s="18">
        <f>IF(OR(ISBLANK($E$10),ISBLANK($E$14)),"",$E$10/$E$14)</f>
        <v/>
      </c>
      <c r="E51" s="13" t="inlineStr">
        <is>
          <t>info</t>
        </is>
      </c>
      <c r="F51" t="inlineStr">
        <is>
          <t>Block 8</t>
        </is>
      </c>
    </row>
    <row r="52">
      <c r="B52" t="inlineStr">
        <is>
          <t>ROE post-issue (same PAT)</t>
        </is>
      </c>
      <c r="C52" s="18">
        <f>IF(OR(ISBLANK($E$10),ISBLANK($E$14),ISBLANK($E$27)),"",$E$10/($E$14+$E$27))</f>
        <v/>
      </c>
      <c r="E52" s="13" t="inlineStr">
        <is>
          <t>info</t>
        </is>
      </c>
      <c r="F52" t="inlineStr">
        <is>
          <t>Block 8</t>
        </is>
      </c>
    </row>
    <row r="53">
      <c r="B53" t="inlineStr">
        <is>
          <t>Offer price / promoter WACA</t>
        </is>
      </c>
      <c r="C53" s="24">
        <f>IF(OR(ISBLANK($E$28),ISBLANK($E$29)),"",$E$29/$E$28)</f>
        <v/>
      </c>
      <c r="D53" s="25" t="n">
        <v>10</v>
      </c>
      <c r="E53" s="13">
        <f>IF(NOT(ISNUMBER(C53)),"-",IF(C53&gt;D53,"WATCH","OK"))</f>
        <v/>
      </c>
      <c r="F53" t="inlineStr">
        <is>
          <t>Block 8 / 11</t>
        </is>
      </c>
    </row>
    <row r="55">
      <c r="B55" s="14" t="inlineStr">
        <is>
          <t>CFO falling while PAT rises is the signal. Cumulative cash tax at the statutory rate is the strongest positive fact available - say it as plainly as the negatives.</t>
        </is>
      </c>
    </row>
  </sheetData>
  <conditionalFormatting sqref="E33:E54">
    <cfRule type="expression" priority="1" dxfId="0">
      <formula>LEFT(E33,3)="RED"</formula>
    </cfRule>
    <cfRule type="expression" priority="2" dxfId="0">
      <formula>LEFT(E33,4)="FAIL"</formula>
    </cfRule>
    <cfRule type="expression" priority="3" dxfId="0">
      <formula>LEFT(E33,12)="INCONSISTENT"</formula>
    </cfRule>
    <cfRule type="expression" priority="4" dxfId="0">
      <formula>LEFT(E33,10)="DEGENERATE"</formula>
    </cfRule>
    <cfRule type="expression" priority="5" dxfId="1">
      <formula>LEFT(E33,5)="AMBER"</formula>
    </cfRule>
    <cfRule type="expression" priority="6" dxfId="1">
      <formula>LEFT(E33,5)="WATCH"</formula>
    </cfRule>
    <cfRule type="expression" priority="7" dxfId="2">
      <formula>LEFT(E33,2)="OK"</formula>
    </cfRule>
    <cfRule type="expression" priority="8" dxfId="2">
      <formula>LEFT(E33,4)="PASS"</formula>
    </cfRule>
  </conditionalFormatting>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5" customWidth="1" min="1" max="1"/>
    <col width="34" customWidth="1" min="2" max="2"/>
    <col width="60" customWidth="1" min="3" max="3"/>
    <col width="34" customWidth="1" min="4" max="4"/>
    <col width="10" customWidth="1" min="5" max="5"/>
    <col width="12" customWidth="1" min="6" max="6"/>
    <col width="50" customWidth="1" min="7" max="7"/>
  </cols>
  <sheetData>
    <row r="1" ht="24" customHeight="1">
      <c r="A1" s="1" t="inlineStr">
        <is>
          <t>Ten forensic checks + regulatory checks</t>
        </is>
      </c>
    </row>
    <row r="2" ht="20" customHeight="1">
      <c r="A2" s="2" t="inlineStr">
        <is>
          <t>Parshwanath Capital Ventures Fund | SEBI Registered CAT III AIF | IN/AIF3/25-26/2108 | Fund Manager: CA Deep Dalal | Sponsor: Jignesh Shah</t>
        </is>
      </c>
    </row>
    <row r="4">
      <c r="A4" s="15" t="inlineStr">
        <is>
          <t>#</t>
        </is>
      </c>
      <c r="B4" s="15" t="inlineStr">
        <is>
          <t>Check</t>
        </is>
      </c>
      <c r="C4" s="15" t="inlineStr">
        <is>
          <t>What to test</t>
        </is>
      </c>
      <c r="D4" s="15" t="inlineStr">
        <is>
          <t>Where in the document</t>
        </is>
      </c>
      <c r="E4" s="15" t="inlineStr">
        <is>
          <t>Status</t>
        </is>
      </c>
      <c r="F4" s="15" t="inlineStr">
        <is>
          <t>Page cite</t>
        </is>
      </c>
      <c r="G4" s="15" t="inlineStr">
        <is>
          <t>Finding</t>
        </is>
      </c>
    </row>
    <row r="5" ht="42" customHeight="1">
      <c r="A5" s="26" t="inlineStr">
        <is>
          <t>1</t>
        </is>
      </c>
      <c r="B5" s="26" t="inlineStr">
        <is>
          <t>Bonus issue before filing</t>
        </is>
      </c>
      <c r="C5" s="26" t="inlineStr">
        <is>
          <t>Basis for Issue Price on pre-bonus count? EPS/NAV restated for all periods (Ind AS 33)? Consistent share count in every chapter?</t>
        </is>
      </c>
      <c r="D5" s="26" t="inlineStr">
        <is>
          <t>Capital Structure; Basis for Offer Price; Financials</t>
        </is>
      </c>
      <c r="E5" s="7" t="inlineStr">
        <is>
          <t>PASS</t>
        </is>
      </c>
      <c r="F5" s="7" t="inlineStr">
        <is>
          <t>pp. 99-100, 128</t>
        </is>
      </c>
      <c r="G5" s="27" t="inlineStr">
        <is>
          <t>3:1 bonus (08-Jul-2025) and the 9,00,091-share placement at Rs 88 (28-Oct-2025) are reflected: FY26 EPS Rs 7.64 is on 3,99,79,764 weighted shares; 4,05,00,091 shares now.</t>
        </is>
      </c>
    </row>
    <row r="6" ht="42" customHeight="1">
      <c r="A6" s="26" t="inlineStr">
        <is>
          <t>2</t>
        </is>
      </c>
      <c r="B6" s="26" t="inlineStr">
        <is>
          <t>Cash flow statement and CFO vs PAT</t>
        </is>
      </c>
      <c r="C6" s="26" t="inlineStr">
        <is>
          <t>Statement present? Cumulative CFO / PAT, standalone and consolidated (see Quick Metrics).</t>
        </is>
      </c>
      <c r="D6" s="26" t="inlineStr">
        <is>
          <t>Restated cash flow statement</t>
        </is>
      </c>
      <c r="E6" s="7" t="inlineStr">
        <is>
          <t>WATCH</t>
        </is>
      </c>
      <c r="F6" s="7" t="inlineStr">
        <is>
          <t>p. 86</t>
        </is>
      </c>
      <c r="G6" s="27" t="inlineStr">
        <is>
          <t>Operating cash flow Rs 11.49 / 32.09 / 10.22 cr FY24-26 against PAT Rs 21.14 / 28.67 / 30.54 cr: cumulative CFO/PAT 67.0% while revenue grew 30% a year and inventory rose Rs 73.6 cr in FY26. Q1 FY27 CFO Rs 72.31 cr (PAT Rs 15.08 cr) as inventory was released.</t>
        </is>
      </c>
    </row>
    <row r="7" ht="42" customHeight="1">
      <c r="A7" s="26" t="inlineStr">
        <is>
          <t>3</t>
        </is>
      </c>
      <c r="B7" s="26" t="inlineStr">
        <is>
          <t>Current vs deferred tax</t>
        </is>
      </c>
      <c r="C7" s="26" t="inlineStr">
        <is>
          <t>Near-nil current tax? Cumulative cash tax rate vs statutory.</t>
        </is>
      </c>
      <c r="D7" s="26" t="inlineStr">
        <is>
          <t>Restated P&amp;L, tax note</t>
        </is>
      </c>
      <c r="E7" s="7" t="inlineStr">
        <is>
          <t>PASS</t>
        </is>
      </c>
      <c r="F7" s="7" t="inlineStr">
        <is>
          <t>p. 85</t>
        </is>
      </c>
      <c r="G7" s="27" t="inlineStr">
        <is>
          <t>Current tax 19.6% of cumulative FY24-26 PBT plus deferred tax (accelerated depreciation on new lines); income tax paid Rs 21.14 cr over three years.</t>
        </is>
      </c>
    </row>
    <row r="8" ht="42" customHeight="1">
      <c r="A8" s="26" t="inlineStr">
        <is>
          <t>4</t>
        </is>
      </c>
      <c r="B8" s="26" t="inlineStr">
        <is>
          <t>Related-party capex and proceeds into subsidiaries</t>
        </is>
      </c>
      <c r="C8" s="26" t="inlineStr">
        <is>
          <t>Capitalised RP purchases; instrument, rate, tenor, security of funds to subsidiaries; leakage to minorities.</t>
        </is>
      </c>
      <c r="D8" s="26" t="inlineStr">
        <is>
          <t>RPT note; Objects</t>
        </is>
      </c>
      <c r="E8" s="7" t="inlineStr">
        <is>
          <t>WATCH</t>
        </is>
      </c>
      <c r="F8" s="7" t="inlineStr">
        <is>
          <t>pp. 89-92</t>
        </is>
      </c>
      <c r="G8" s="27" t="inlineStr">
        <is>
          <t>Promoters and relatives lend the company Rs 20.55 cr (Jun-26) at interest (Rs 3.08 cr in FY26) and rent it premises (Rs 0.52 cr in FY26); managerial pay Rs 0.66 cr to three promoter directors in FY26. Disclosed and typical of a promoter-funded company.</t>
        </is>
      </c>
    </row>
    <row r="9" ht="42" customHeight="1">
      <c r="A9" s="26" t="inlineStr">
        <is>
          <t>5</t>
        </is>
      </c>
      <c r="B9" s="26" t="inlineStr">
        <is>
          <t>Objects arithmetic as price floor</t>
        </is>
      </c>
      <c r="C9" s="26" t="inlineStr">
        <is>
          <t>Objects / fixed fresh shares, grossed up for expenses and GCP. Floor above fair value?</t>
        </is>
      </c>
      <c r="D9" s="26" t="inlineStr">
        <is>
          <t>Objects of the Offer</t>
        </is>
      </c>
      <c r="E9" s="7" t="inlineStr">
        <is>
          <t>N.A.</t>
        </is>
      </c>
      <c r="F9" s="7" t="inlineStr">
        <is>
          <t>p. 117</t>
        </is>
      </c>
      <c r="G9" s="27" t="inlineStr">
        <is>
          <t>Amount-based fresh issue (Rs 183.06 cr): Rs 125 cr repays borrowings, Rs 15.77 cr buys out Siemens equipment leases, balance GCP (cap 25%). No fixed share count, so no objects floor.</t>
        </is>
      </c>
    </row>
    <row r="10" ht="42" customHeight="1">
      <c r="A10" s="26" t="inlineStr">
        <is>
          <t>6</t>
        </is>
      </c>
      <c r="B10" s="26" t="inlineStr">
        <is>
          <t>Revaluation reserves</t>
        </is>
      </c>
      <c r="C10" s="26" t="inlineStr">
        <is>
          <t>Any non-zero balance.</t>
        </is>
      </c>
      <c r="D10" s="26" t="inlineStr">
        <is>
          <t>Other equity note</t>
        </is>
      </c>
      <c r="E10" s="7" t="inlineStr">
        <is>
          <t>OPEN</t>
        </is>
      </c>
      <c r="F10" s="7" t="inlineStr"/>
      <c r="G10" s="27" t="inlineStr"/>
    </row>
    <row r="11" ht="42" customHeight="1">
      <c r="A11" s="26" t="inlineStr">
        <is>
          <t>7</t>
        </is>
      </c>
      <c r="B11" s="26" t="inlineStr">
        <is>
          <t>Goodwill vs tangible equity</t>
        </is>
      </c>
      <c r="C11" s="26" t="inlineStr">
        <is>
          <t>Goodwill share of equity; purchase accounting changed between documents?</t>
        </is>
      </c>
      <c r="D11" s="26" t="inlineStr">
        <is>
          <t>Restated balance sheet</t>
        </is>
      </c>
      <c r="E11" s="7" t="inlineStr">
        <is>
          <t>PASS</t>
        </is>
      </c>
      <c r="F11" s="7" t="inlineStr">
        <is>
          <t>p. 84</t>
        </is>
      </c>
      <c r="G11" s="27" t="inlineStr">
        <is>
          <t>No goodwill or intangibles.</t>
        </is>
      </c>
    </row>
    <row r="12" ht="42" customHeight="1">
      <c r="A12" s="26" t="inlineStr">
        <is>
          <t>8</t>
        </is>
      </c>
      <c r="B12" s="26" t="inlineStr">
        <is>
          <t>Concentration - demand AND supply side</t>
        </is>
      </c>
      <c r="C12" s="26" t="inlineStr">
        <is>
          <t>Customer, supplier, geography; &gt;80% flags; long-term supply agreement exists?</t>
        </is>
      </c>
      <c r="D12" s="26" t="inlineStr">
        <is>
          <t>Business; Risk Factors</t>
        </is>
      </c>
      <c r="E12" s="7" t="inlineStr">
        <is>
          <t>WATCH</t>
        </is>
      </c>
      <c r="F12" s="7" t="inlineStr">
        <is>
          <t>pp. 34-35</t>
        </is>
      </c>
      <c r="G12" s="27" t="inlineStr">
        <is>
          <t>JSW Steel Coated Products supplied 86.65% of FY26 steel coils (85.13% in Q1 FY27); appliances 86.54% of FY26 product revenue; top customer (Amber Enterprises) 20.40% and top-10 71.33% of FY26 revenue. Typical of a service centre tied to one mill and the appliance PLI ecosystem.</t>
        </is>
      </c>
    </row>
    <row r="13" ht="42" customHeight="1">
      <c r="A13" s="26" t="inlineStr">
        <is>
          <t>9</t>
        </is>
      </c>
      <c r="B13" s="26" t="inlineStr">
        <is>
          <t>Contingent liabilities and materiality policy</t>
        </is>
      </c>
      <c r="C13" s="26" t="inlineStr">
        <is>
          <t>CL vs net worth; is the materiality threshold set to exclude real matters?</t>
        </is>
      </c>
      <c r="D13" s="26" t="inlineStr">
        <is>
          <t>Outstanding Litigation; CL note</t>
        </is>
      </c>
      <c r="E13" s="7" t="inlineStr">
        <is>
          <t>PASS</t>
        </is>
      </c>
      <c r="F13" s="7" t="inlineStr">
        <is>
          <t>p. 87</t>
        </is>
      </c>
      <c r="G13" s="27" t="inlineStr">
        <is>
          <t>No contingent liabilities; capital commitments Rs 9.83 cr (Jun-26).</t>
        </is>
      </c>
    </row>
    <row r="14" ht="42" customHeight="1">
      <c r="A14" s="26" t="inlineStr">
        <is>
          <t>10</t>
        </is>
      </c>
      <c r="B14" s="26" t="inlineStr">
        <is>
          <t>Investor presentation vs filed document</t>
        </is>
      </c>
      <c r="C14" s="26" t="inlineStr">
        <is>
          <t>Base years, margin definitions, customers, capacity, awards absent from the DRHP; KPIs outside the KPI table.</t>
        </is>
      </c>
      <c r="D14" s="26" t="inlineStr">
        <is>
          <t>Investor deck vs DRHP</t>
        </is>
      </c>
      <c r="E14" s="7" t="inlineStr">
        <is>
          <t>N.A.</t>
        </is>
      </c>
      <c r="F14" s="7" t="inlineStr"/>
      <c r="G14" s="27" t="inlineStr">
        <is>
          <t>No investor presentation reviewed.</t>
        </is>
      </c>
    </row>
    <row r="15" ht="42" customHeight="1">
      <c r="A15" s="26" t="inlineStr">
        <is>
          <t>R1</t>
        </is>
      </c>
      <c r="B15" s="26" t="inlineStr">
        <is>
          <t>Auditor qualifications / emphasis of matter</t>
        </is>
      </c>
      <c r="C15" s="26" t="inlineStr">
        <is>
          <t>Any qualification, EoM, or CARO adverse remark.</t>
        </is>
      </c>
      <c r="D15" s="26" t="inlineStr">
        <is>
          <t>Auditor reports</t>
        </is>
      </c>
      <c r="E15" s="7" t="inlineStr">
        <is>
          <t>PASS</t>
        </is>
      </c>
      <c r="F15" s="7" t="inlineStr">
        <is>
          <t>p. 82</t>
        </is>
      </c>
      <c r="G15" s="27" t="inlineStr">
        <is>
          <t>Shah Shah &amp; Shah (peer-reviewed); no qualifications.</t>
        </is>
      </c>
    </row>
    <row r="16" ht="42" customHeight="1">
      <c r="A16" s="26" t="inlineStr">
        <is>
          <t>R2</t>
        </is>
      </c>
      <c r="B16" s="26" t="inlineStr">
        <is>
          <t>CARO 2020 / Rule 11(g) audit trail</t>
        </is>
      </c>
      <c r="C16" s="26" t="inlineStr">
        <is>
          <t>Audit-trail compliance reported?</t>
        </is>
      </c>
      <c r="D16" s="26" t="inlineStr">
        <is>
          <t>Auditor report annexure</t>
        </is>
      </c>
      <c r="E16" s="7" t="inlineStr">
        <is>
          <t>WATCH</t>
        </is>
      </c>
      <c r="F16" s="7" t="inlineStr">
        <is>
          <t>p. 32</t>
        </is>
      </c>
      <c r="G16" s="27" t="inlineStr">
        <is>
          <t>25 delayed RoC filings over five years and a 2021 allotment to a promoter filed with the wrong form; adjudication application (06-Jan-2026) still pending before the RoC. Procedural; no penalty yet.</t>
        </is>
      </c>
    </row>
    <row r="17" ht="42" customHeight="1">
      <c r="A17" s="26" t="inlineStr">
        <is>
          <t>R3</t>
        </is>
      </c>
      <c r="B17" s="26" t="inlineStr">
        <is>
          <t>Monitoring agency (ICDR Reg 262(1))</t>
        </is>
      </c>
      <c r="C17" s="26" t="inlineStr">
        <is>
          <t>Appointed where required by issue size?</t>
        </is>
      </c>
      <c r="D17" s="26" t="inlineStr">
        <is>
          <t>Objects</t>
        </is>
      </c>
      <c r="E17" s="7" t="inlineStr">
        <is>
          <t>PASS</t>
        </is>
      </c>
      <c r="F17" s="7" t="inlineStr">
        <is>
          <t>p. 117</t>
        </is>
      </c>
      <c r="G17" s="27" t="inlineStr">
        <is>
          <t>Monitoring agency appointed for the use of proceeds.</t>
        </is>
      </c>
    </row>
    <row r="18" ht="42" customHeight="1">
      <c r="A18" s="26" t="inlineStr">
        <is>
          <t>R4</t>
        </is>
      </c>
      <c r="B18" s="26" t="inlineStr">
        <is>
          <t>Mainboard eligibility (Reg 6(1)/6(2))</t>
        </is>
      </c>
      <c r="C18" s="26" t="inlineStr">
        <is>
          <t>Re-perform the eligibility computation; compare to KPI basis.</t>
        </is>
      </c>
      <c r="D18" s="26" t="inlineStr">
        <is>
          <t>Other Regulatory and Statutory Disclosures</t>
        </is>
      </c>
      <c r="E18" s="7" t="inlineStr">
        <is>
          <t>OPEN</t>
        </is>
      </c>
      <c r="F18" s="7" t="inlineStr"/>
      <c r="G18" s="27" t="inlineStr"/>
    </row>
    <row r="19" ht="42" customHeight="1">
      <c r="A19" s="26" t="inlineStr">
        <is>
          <t>R5</t>
        </is>
      </c>
      <c r="B19" s="26" t="inlineStr">
        <is>
          <t>SME (Chapter IX) - post-2025 conditions</t>
        </is>
      </c>
      <c r="C19" s="26" t="inlineStr">
        <is>
          <t>OFS cap, selling-holder cap, GCP cap, operating-profit test, no proceeds to repay promoter/RP loans. Confirm against current ICDR text.</t>
        </is>
      </c>
      <c r="D19" s="26" t="inlineStr">
        <is>
          <t>Offer structure; Objects</t>
        </is>
      </c>
      <c r="E19" s="7" t="inlineStr">
        <is>
          <t>N.A.</t>
        </is>
      </c>
      <c r="F19" s="7" t="inlineStr">
        <is>
          <t>cover</t>
        </is>
      </c>
      <c r="G19" s="27" t="inlineStr">
        <is>
          <t>Mainboard issue under Reg 6(1).</t>
        </is>
      </c>
    </row>
    <row r="20" ht="42" customHeight="1">
      <c r="A20" s="26" t="inlineStr">
        <is>
          <t>R6</t>
        </is>
      </c>
      <c r="B20" s="26" t="inlineStr">
        <is>
          <t>BRLM track record (CIR/MIRSD/1/2012)</t>
        </is>
      </c>
      <c r="C20" s="26" t="inlineStr">
        <is>
          <t>Compile from exchange data: issue price, listing gain, current price vs issue price.</t>
        </is>
      </c>
      <c r="D20" s="26" t="inlineStr">
        <is>
          <t>BRLM website / exchange data</t>
        </is>
      </c>
      <c r="E20" s="7" t="inlineStr">
        <is>
          <t>OPEN</t>
        </is>
      </c>
      <c r="F20" s="7" t="inlineStr"/>
      <c r="G20" s="27" t="inlineStr">
        <is>
          <t>Smart Horizon Capital Advisors: track record of past issues not compiled in this run.</t>
        </is>
      </c>
    </row>
    <row r="21" ht="42" customHeight="1">
      <c r="A21" s="26" t="inlineStr">
        <is>
          <t>R7</t>
        </is>
      </c>
      <c r="B21" s="26" t="inlineStr">
        <is>
          <t>Firm means of finance (Reg 230(1)(e))</t>
        </is>
      </c>
      <c r="C21" s="26" t="inlineStr">
        <is>
          <t>75% of stated means of finance tied up, excluding issue proceeds?</t>
        </is>
      </c>
      <c r="D21" s="26" t="inlineStr">
        <is>
          <t>Objects</t>
        </is>
      </c>
      <c r="E21" s="7" t="inlineStr">
        <is>
          <t>OPEN</t>
        </is>
      </c>
      <c r="F21" s="7" t="inlineStr"/>
      <c r="G21" s="27" t="inlineStr"/>
    </row>
  </sheetData>
  <conditionalFormatting sqref="E5:E21">
    <cfRule type="expression" priority="1" dxfId="0">
      <formula>LEFT(E5,3)="RED"</formula>
    </cfRule>
    <cfRule type="expression" priority="2" dxfId="0">
      <formula>LEFT(E5,4)="FAIL"</formula>
    </cfRule>
    <cfRule type="expression" priority="3" dxfId="0">
      <formula>LEFT(E5,12)="INCONSISTENT"</formula>
    </cfRule>
    <cfRule type="expression" priority="4" dxfId="0">
      <formula>LEFT(E5,10)="DEGENERATE"</formula>
    </cfRule>
    <cfRule type="expression" priority="5" dxfId="1">
      <formula>LEFT(E5,5)="AMBER"</formula>
    </cfRule>
    <cfRule type="expression" priority="6" dxfId="1">
      <formula>LEFT(E5,5)="WATCH"</formula>
    </cfRule>
    <cfRule type="expression" priority="7" dxfId="2">
      <formula>LEFT(E5,2)="OK"</formula>
    </cfRule>
    <cfRule type="expression" priority="8" dxfId="2">
      <formula>LEFT(E5,4)="PASS"</formula>
    </cfRule>
  </conditionalFormatting>
  <dataValidations count="17">
    <dataValidation sqref="E5" showDropDown="0" showInputMessage="0" showErrorMessage="0" allowBlank="1" type="list">
      <formula1>"PASS,WATCH,FAIL,N.A.,OPEN"</formula1>
    </dataValidation>
    <dataValidation sqref="E6" showDropDown="0" showInputMessage="0" showErrorMessage="0" allowBlank="1" type="list">
      <formula1>"PASS,WATCH,FAIL,N.A.,OPEN"</formula1>
    </dataValidation>
    <dataValidation sqref="E7" showDropDown="0" showInputMessage="0" showErrorMessage="0" allowBlank="1" type="list">
      <formula1>"PASS,WATCH,FAIL,N.A.,OPEN"</formula1>
    </dataValidation>
    <dataValidation sqref="E8" showDropDown="0" showInputMessage="0" showErrorMessage="0" allowBlank="1" type="list">
      <formula1>"PASS,WATCH,FAIL,N.A.,OPEN"</formula1>
    </dataValidation>
    <dataValidation sqref="E9" showDropDown="0" showInputMessage="0" showErrorMessage="0" allowBlank="1" type="list">
      <formula1>"PASS,WATCH,FAIL,N.A.,OPEN"</formula1>
    </dataValidation>
    <dataValidation sqref="E10" showDropDown="0" showInputMessage="0" showErrorMessage="0" allowBlank="1" type="list">
      <formula1>"PASS,WATCH,FAIL,N.A.,OPEN"</formula1>
    </dataValidation>
    <dataValidation sqref="E11" showDropDown="0" showInputMessage="0" showErrorMessage="0" allowBlank="1" type="list">
      <formula1>"PASS,WATCH,FAIL,N.A.,OPEN"</formula1>
    </dataValidation>
    <dataValidation sqref="E12" showDropDown="0" showInputMessage="0" showErrorMessage="0" allowBlank="1" type="list">
      <formula1>"PASS,WATCH,FAIL,N.A.,OPEN"</formula1>
    </dataValidation>
    <dataValidation sqref="E13" showDropDown="0" showInputMessage="0" showErrorMessage="0" allowBlank="1" type="list">
      <formula1>"PASS,WATCH,FAIL,N.A.,OPEN"</formula1>
    </dataValidation>
    <dataValidation sqref="E14" showDropDown="0" showInputMessage="0" showErrorMessage="0" allowBlank="1" type="list">
      <formula1>"PASS,WATCH,FAIL,N.A.,OPEN"</formula1>
    </dataValidation>
    <dataValidation sqref="E15" showDropDown="0" showInputMessage="0" showErrorMessage="0" allowBlank="1" type="list">
      <formula1>"PASS,WATCH,FAIL,N.A.,OPEN"</formula1>
    </dataValidation>
    <dataValidation sqref="E16" showDropDown="0" showInputMessage="0" showErrorMessage="0" allowBlank="1" type="list">
      <formula1>"PASS,WATCH,FAIL,N.A.,OPEN"</formula1>
    </dataValidation>
    <dataValidation sqref="E17" showDropDown="0" showInputMessage="0" showErrorMessage="0" allowBlank="1" type="list">
      <formula1>"PASS,WATCH,FAIL,N.A.,OPEN"</formula1>
    </dataValidation>
    <dataValidation sqref="E18" showDropDown="0" showInputMessage="0" showErrorMessage="0" allowBlank="1" type="list">
      <formula1>"PASS,WATCH,FAIL,N.A.,OPEN"</formula1>
    </dataValidation>
    <dataValidation sqref="E19" showDropDown="0" showInputMessage="0" showErrorMessage="0" allowBlank="1" type="list">
      <formula1>"PASS,WATCH,FAIL,N.A.,OPEN"</formula1>
    </dataValidation>
    <dataValidation sqref="E20" showDropDown="0" showInputMessage="0" showErrorMessage="0" allowBlank="1" type="list">
      <formula1>"PASS,WATCH,FAIL,N.A.,OPEN"</formula1>
    </dataValidation>
    <dataValidation sqref="E21" showDropDown="0" showInputMessage="0" showErrorMessage="0" allowBlank="1" type="list">
      <formula1>"PASS,WATCH,FAIL,N.A.,OPEN"</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E44"/>
  <sheetViews>
    <sheetView showGridLines="0" workbookViewId="0">
      <selection activeCell="A1" sqref="A1"/>
    </sheetView>
  </sheetViews>
  <sheetFormatPr baseColWidth="8" defaultRowHeight="15"/>
  <cols>
    <col width="32" customWidth="1" min="1" max="1"/>
    <col width="62" customWidth="1" min="2" max="2"/>
    <col width="60" customWidth="1" min="3" max="3"/>
    <col width="12" customWidth="1" min="4" max="4"/>
    <col width="12" customWidth="1" min="5" max="5"/>
  </cols>
  <sheetData>
    <row r="1" ht="24" customHeight="1">
      <c r="A1" s="1" t="inlineStr">
        <is>
          <t>Twelve analyst work blocks - work all twelve, report what moves the conclusion</t>
        </is>
      </c>
    </row>
    <row r="2" ht="20" customHeight="1">
      <c r="A2" s="2" t="inlineStr">
        <is>
          <t>Parshwanath Capital Ventures Fund | SEBI Registered CAT III AIF | IN/AIF3/25-26/2108 | Fund Manager: CA Deep Dalal | Sponsor: Jignesh Shah</t>
        </is>
      </c>
    </row>
    <row r="4">
      <c r="A4" s="15" t="inlineStr">
        <is>
          <t>Block</t>
        </is>
      </c>
      <c r="B4" s="15" t="inlineStr">
        <is>
          <t>Question</t>
        </is>
      </c>
      <c r="C4" s="15" t="inlineStr">
        <is>
          <t>Finding</t>
        </is>
      </c>
      <c r="D4" s="15" t="inlineStr">
        <is>
          <t>Moves conclusion?</t>
        </is>
      </c>
      <c r="E4" s="15" t="inlineStr">
        <is>
          <t>Page cite</t>
        </is>
      </c>
    </row>
    <row r="5">
      <c r="A5" t="inlineStr">
        <is>
          <t>1 Earnings quality</t>
        </is>
      </c>
      <c r="B5" s="26" t="inlineStr">
        <is>
          <t>Cumulative CFO / PAT; CFO before and after working capital</t>
        </is>
      </c>
      <c r="C5" s="7" t="inlineStr"/>
      <c r="D5" s="7" t="inlineStr"/>
      <c r="E5" s="7" t="inlineStr"/>
    </row>
    <row r="6">
      <c r="A6" t="inlineStr">
        <is>
          <t>1 Earnings quality</t>
        </is>
      </c>
      <c r="B6" s="26" t="inlineStr">
        <is>
          <t>Non-recurring items in other income as % of PBT</t>
        </is>
      </c>
      <c r="C6" s="7" t="inlineStr"/>
      <c r="D6" s="7" t="inlineStr"/>
      <c r="E6" s="7" t="inlineStr"/>
    </row>
    <row r="7">
      <c r="A7" t="inlineStr">
        <is>
          <t>1 Earnings quality</t>
        </is>
      </c>
      <c r="B7" s="26" t="inlineStr">
        <is>
          <t>Is the stub period seasonally favourable for this industry?</t>
        </is>
      </c>
      <c r="C7" s="7" t="inlineStr"/>
      <c r="D7" s="7" t="inlineStr"/>
      <c r="E7" s="7" t="inlineStr"/>
    </row>
    <row r="8">
      <c r="A8" t="inlineStr">
        <is>
          <t>2 Working capital</t>
        </is>
      </c>
      <c r="B8" s="26" t="inlineStr">
        <is>
          <t>NWC % revenue each period</t>
        </is>
      </c>
      <c r="C8" s="7" t="inlineStr"/>
      <c r="D8" s="7" t="inlineStr"/>
      <c r="E8" s="7" t="inlineStr"/>
    </row>
    <row r="9">
      <c r="A9" t="inlineStr">
        <is>
          <t>2 Working capital</t>
        </is>
      </c>
      <c r="B9" s="26" t="inlineStr">
        <is>
          <t>Incremental NWC per Rs of incremental revenue</t>
        </is>
      </c>
      <c r="C9" s="7" t="inlineStr"/>
      <c r="D9" s="7" t="inlineStr"/>
      <c r="E9" s="7" t="inlineStr"/>
    </row>
    <row r="10">
      <c r="A10" t="inlineStr">
        <is>
          <t>2 Working capital</t>
        </is>
      </c>
      <c r="B10" s="26" t="inlineStr">
        <is>
          <t>Closing-balance days vs issuer's average-based days</t>
        </is>
      </c>
      <c r="C10" s="7" t="inlineStr"/>
      <c r="D10" s="7" t="inlineStr"/>
      <c r="E10" s="7" t="inlineStr"/>
    </row>
    <row r="11">
      <c r="A11" t="inlineStr">
        <is>
          <t>3 Receivables / payables / inventory</t>
        </is>
      </c>
      <c r="B11" s="26" t="inlineStr">
        <is>
          <t>Schedule III ageing: buckets from due date or invoice date?</t>
        </is>
      </c>
      <c r="C11" s="7" t="inlineStr"/>
      <c r="D11" s="7" t="inlineStr"/>
      <c r="E11" s="7" t="inlineStr"/>
    </row>
    <row r="12">
      <c r="A12" t="inlineStr">
        <is>
          <t>3 Receivables / payables / inventory</t>
        </is>
      </c>
      <c r="B12" s="26" t="inlineStr">
        <is>
          <t>Provision coverage on old debt</t>
        </is>
      </c>
      <c r="C12" s="7" t="inlineStr"/>
      <c r="D12" s="7" t="inlineStr"/>
      <c r="E12" s="7" t="inlineStr"/>
    </row>
    <row r="13">
      <c r="A13" t="inlineStr">
        <is>
          <t>3 Receivables / payables / inventory</t>
        </is>
      </c>
      <c r="B13" s="26" t="inlineStr">
        <is>
          <t>MSME payables and Sec 15/16 interest</t>
        </is>
      </c>
      <c r="C13" s="7" t="inlineStr"/>
      <c r="D13" s="7" t="inlineStr"/>
      <c r="E13" s="7" t="inlineStr"/>
    </row>
    <row r="14">
      <c r="A14" t="inlineStr">
        <is>
          <t>3 Receivables / payables / inventory</t>
        </is>
      </c>
      <c r="B14" s="26" t="inlineStr">
        <is>
          <t>Slow-moving inventory</t>
        </is>
      </c>
      <c r="C14" s="7" t="inlineStr"/>
      <c r="D14" s="7" t="inlineStr"/>
      <c r="E14" s="7" t="inlineStr"/>
    </row>
    <row r="15">
      <c r="A15" t="inlineStr">
        <is>
          <t>4 Revenue integrity</t>
        </is>
      </c>
      <c r="B15" s="26" t="inlineStr">
        <is>
          <t>Standalone vs consolidated revenue and EPS</t>
        </is>
      </c>
      <c r="C15" s="7" t="inlineStr"/>
      <c r="D15" s="7" t="inlineStr"/>
      <c r="E15" s="7" t="inlineStr"/>
    </row>
    <row r="16">
      <c r="A16" t="inlineStr">
        <is>
          <t>4 Revenue integrity</t>
        </is>
      </c>
      <c r="B16" s="26" t="inlineStr">
        <is>
          <t>Related-party contribution to growth</t>
        </is>
      </c>
      <c r="C16" s="7" t="inlineStr"/>
      <c r="D16" s="7" t="inlineStr"/>
      <c r="E16" s="7" t="inlineStr"/>
    </row>
    <row r="17">
      <c r="A17" t="inlineStr">
        <is>
          <t>4 Revenue integrity</t>
        </is>
      </c>
      <c r="B17" s="26" t="inlineStr">
        <is>
          <t>Segment/product splits ledgered or derived (round numbers + one plug)?</t>
        </is>
      </c>
      <c r="C17" s="7" t="inlineStr"/>
      <c r="D17" s="7" t="inlineStr"/>
      <c r="E17" s="7" t="inlineStr"/>
    </row>
    <row r="18">
      <c r="A18" t="inlineStr">
        <is>
          <t>5 Margin bridge</t>
        </is>
      </c>
      <c r="B18" s="26" t="inlineStr">
        <is>
          <t>Gross margin / employee / other cost contribution to margin change</t>
        </is>
      </c>
      <c r="C18" s="7" t="inlineStr"/>
      <c r="D18" s="7" t="inlineStr"/>
      <c r="E18" s="7" t="inlineStr"/>
    </row>
    <row r="19">
      <c r="A19" t="inlineStr">
        <is>
          <t>5 Margin bridge</t>
        </is>
      </c>
      <c r="B19" s="26" t="inlineStr">
        <is>
          <t>Is the margin plausible for the business model?</t>
        </is>
      </c>
      <c r="C19" s="7" t="inlineStr"/>
      <c r="D19" s="7" t="inlineStr"/>
      <c r="E19" s="7" t="inlineStr"/>
    </row>
    <row r="20">
      <c r="A20" t="inlineStr">
        <is>
          <t>5 Margin bridge</t>
        </is>
      </c>
      <c r="B20" s="26" t="inlineStr">
        <is>
          <t>Costs the company can reinstate at will</t>
        </is>
      </c>
      <c r="C20" s="7" t="inlineStr"/>
      <c r="D20" s="7" t="inlineStr"/>
      <c r="E20" s="7" t="inlineStr"/>
    </row>
    <row r="21">
      <c r="A21" t="inlineStr">
        <is>
          <t>6 Balance sheet and banking</t>
        </is>
      </c>
      <c r="B21" s="26" t="inlineStr">
        <is>
          <t>Sanctioned vs drawn, on-demand share</t>
        </is>
      </c>
      <c r="C21" s="7" t="inlineStr"/>
      <c r="D21" s="7" t="inlineStr"/>
      <c r="E21" s="7" t="inlineStr"/>
    </row>
    <row r="22">
      <c r="A22" t="inlineStr">
        <is>
          <t>6 Balance sheet and banking</t>
        </is>
      </c>
      <c r="B22" s="26" t="inlineStr">
        <is>
          <t>Covenants and lender consents</t>
        </is>
      </c>
      <c r="C22" s="7" t="inlineStr"/>
      <c r="D22" s="7" t="inlineStr"/>
      <c r="E22" s="7" t="inlineStr"/>
    </row>
    <row r="23">
      <c r="A23" t="inlineStr">
        <is>
          <t>6 Balance sheet and banking</t>
        </is>
      </c>
      <c r="B23" s="26" t="inlineStr">
        <is>
          <t>Personal guarantees / promoter property released by proceeds?</t>
        </is>
      </c>
      <c r="C23" s="7" t="inlineStr"/>
      <c r="D23" s="7" t="inlineStr"/>
      <c r="E23" s="7" t="inlineStr"/>
    </row>
    <row r="24">
      <c r="A24" t="inlineStr">
        <is>
          <t>6 Balance sheet and banking</t>
        </is>
      </c>
      <c r="B24" s="26" t="inlineStr">
        <is>
          <t>Credit rating trend; insurance cover vs assets</t>
        </is>
      </c>
      <c r="C24" s="7" t="inlineStr"/>
      <c r="D24" s="7" t="inlineStr"/>
      <c r="E24" s="7" t="inlineStr"/>
    </row>
    <row r="25">
      <c r="A25" t="inlineStr">
        <is>
          <t>7 Objects tested</t>
        </is>
      </c>
      <c r="B25" s="26" t="inlineStr">
        <is>
          <t>% to productive assets / WC / debt / unallocated</t>
        </is>
      </c>
      <c r="C25" s="7" t="inlineStr"/>
      <c r="D25" s="7" t="inlineStr"/>
      <c r="E25" s="7" t="inlineStr"/>
    </row>
    <row r="26">
      <c r="A26" t="inlineStr">
        <is>
          <t>7 Objects tested</t>
        </is>
      </c>
      <c r="B26" s="26" t="inlineStr">
        <is>
          <t>Debt repayment that is revolving WC</t>
        </is>
      </c>
      <c r="C26" s="7" t="inlineStr"/>
      <c r="D26" s="7" t="inlineStr"/>
      <c r="E26" s="7" t="inlineStr"/>
    </row>
    <row r="27">
      <c r="A27" t="inlineStr">
        <is>
          <t>7 Objects tested</t>
        </is>
      </c>
      <c r="B27" s="26" t="inlineStr">
        <is>
          <t>Quotation validity, FX date, firm orders, who prepared the DPR</t>
        </is>
      </c>
      <c r="C27" s="7" t="inlineStr"/>
      <c r="D27" s="7" t="inlineStr"/>
      <c r="E27" s="7" t="inlineStr"/>
    </row>
    <row r="28">
      <c r="A28" t="inlineStr">
        <is>
          <t>8 Post-issue dilution</t>
        </is>
      </c>
      <c r="B28" s="26" t="inlineStr">
        <is>
          <t>Post-money ROE / ROCE</t>
        </is>
      </c>
      <c r="C28" s="7" t="inlineStr"/>
      <c r="D28" s="7" t="inlineStr"/>
      <c r="E28" s="7" t="inlineStr"/>
    </row>
    <row r="29">
      <c r="A29" t="inlineStr">
        <is>
          <t>8 Post-issue dilution</t>
        </is>
      </c>
      <c r="B29" s="26" t="inlineStr">
        <is>
          <t>Offer price vs post-issue NAV (book dilution)</t>
        </is>
      </c>
      <c r="C29" s="7" t="inlineStr"/>
      <c r="D29" s="7" t="inlineStr"/>
      <c r="E29" s="7" t="inlineStr"/>
    </row>
    <row r="30">
      <c r="A30" t="inlineStr">
        <is>
          <t>8 Post-issue dilution</t>
        </is>
      </c>
      <c r="B30" s="26" t="inlineStr">
        <is>
          <t>Promoter WACA vs offer price</t>
        </is>
      </c>
      <c r="C30" s="7" t="inlineStr"/>
      <c r="D30" s="7" t="inlineStr"/>
      <c r="E30" s="7" t="inlineStr"/>
    </row>
    <row r="31">
      <c r="A31" t="inlineStr">
        <is>
          <t>9 Related parties</t>
        </is>
      </c>
      <c r="B31" s="26" t="inlineStr">
        <is>
          <t>Sales/purchases/advances/rent/remuneration/loans vs base</t>
        </is>
      </c>
      <c r="C31" s="7" t="inlineStr"/>
      <c r="D31" s="7" t="inlineStr"/>
      <c r="E31" s="7" t="inlineStr"/>
    </row>
    <row r="32">
      <c r="A32" t="inlineStr">
        <is>
          <t>9 Related parties</t>
        </is>
      </c>
      <c r="B32" s="26" t="inlineStr">
        <is>
          <t>Promoter remuneration: contracted vs drawn (charge the gap in Bear)</t>
        </is>
      </c>
      <c r="C32" s="7" t="inlineStr"/>
      <c r="D32" s="7" t="inlineStr"/>
      <c r="E32" s="7" t="inlineStr"/>
    </row>
    <row r="33">
      <c r="A33" t="inlineStr">
        <is>
          <t>9 Related parties</t>
        </is>
      </c>
      <c r="B33" s="26" t="inlineStr">
        <is>
          <t>Group entities that compete, supply or buy</t>
        </is>
      </c>
      <c r="C33" s="7" t="inlineStr"/>
      <c r="D33" s="7" t="inlineStr"/>
      <c r="E33" s="7" t="inlineStr"/>
    </row>
    <row r="34">
      <c r="A34" t="inlineStr">
        <is>
          <t>10 Management and governance</t>
        </is>
      </c>
      <c r="B34" s="26" t="inlineStr">
        <is>
          <t>Listed-company experience; KMP tenure &lt; 1 year</t>
        </is>
      </c>
      <c r="C34" s="7" t="inlineStr"/>
      <c r="D34" s="7" t="inlineStr"/>
      <c r="E34" s="7" t="inlineStr"/>
    </row>
    <row r="35">
      <c r="A35" t="inlineStr">
        <is>
          <t>10 Management and governance</t>
        </is>
      </c>
      <c r="B35" s="26" t="inlineStr">
        <is>
          <t>Independent director churn within 12 months</t>
        </is>
      </c>
      <c r="C35" s="7" t="inlineStr"/>
      <c r="D35" s="7" t="inlineStr"/>
      <c r="E35" s="7" t="inlineStr"/>
    </row>
    <row r="36">
      <c r="A36" t="inlineStr">
        <is>
          <t>10 Management and governance</t>
        </is>
      </c>
      <c r="B36" s="26" t="inlineStr">
        <is>
          <t>Auditor forensics: changes, ADT-1/ADT-3 dates, resignation reason, firm size</t>
        </is>
      </c>
      <c r="C36" s="7" t="inlineStr"/>
      <c r="D36" s="7" t="inlineStr"/>
      <c r="E36" s="7" t="inlineStr"/>
    </row>
    <row r="37">
      <c r="A37" t="inlineStr">
        <is>
          <t>11 Corporate record</t>
        </is>
      </c>
      <c r="B37" s="26" t="inlineStr">
        <is>
          <t>Compounding / adjudication; late e-form filings</t>
        </is>
      </c>
      <c r="C37" s="7" t="inlineStr"/>
      <c r="D37" s="7" t="inlineStr"/>
      <c r="E37" s="7" t="inlineStr"/>
    </row>
    <row r="38">
      <c r="A38" t="inlineStr">
        <is>
          <t>11 Corporate record</t>
        </is>
      </c>
      <c r="B38" s="26" t="inlineStr">
        <is>
          <t>BEN-1/BEN-2 compliance</t>
        </is>
      </c>
      <c r="C38" s="7" t="inlineStr"/>
      <c r="D38" s="7" t="inlineStr"/>
      <c r="E38" s="7" t="inlineStr"/>
    </row>
    <row r="39">
      <c r="A39" t="inlineStr">
        <is>
          <t>11 Corporate record</t>
        </is>
      </c>
      <c r="B39" s="26" t="inlineStr">
        <is>
          <t>Pre-IPO gifts/transfers and effect on WACA</t>
        </is>
      </c>
      <c r="C39" s="7" t="inlineStr"/>
      <c r="D39" s="7" t="inlineStr"/>
      <c r="E39" s="7" t="inlineStr"/>
    </row>
    <row r="40">
      <c r="A40" t="inlineStr">
        <is>
          <t>11 Corporate record</t>
        </is>
      </c>
      <c r="B40" s="26" t="inlineStr">
        <is>
          <t>Statutory dues delays; approvals pending</t>
        </is>
      </c>
      <c r="C40" s="7" t="inlineStr"/>
      <c r="D40" s="7" t="inlineStr"/>
      <c r="E40" s="7" t="inlineStr"/>
    </row>
    <row r="41">
      <c r="A41" t="inlineStr">
        <is>
          <t>12 Industry and competition</t>
        </is>
      </c>
      <c r="B41" s="26" t="inlineStr">
        <is>
          <t>Who paid for the industry report?</t>
        </is>
      </c>
      <c r="C41" s="7" t="inlineStr"/>
      <c r="D41" s="7" t="inlineStr"/>
      <c r="E41" s="7" t="inlineStr"/>
    </row>
    <row r="42">
      <c r="A42" t="inlineStr">
        <is>
          <t>12 Industry and competition</t>
        </is>
      </c>
      <c r="B42" s="26" t="inlineStr">
        <is>
          <t>Competitors the document does not name</t>
        </is>
      </c>
      <c r="C42" s="7" t="inlineStr"/>
      <c r="D42" s="7" t="inlineStr"/>
      <c r="E42" s="7" t="inlineStr"/>
    </row>
    <row r="43">
      <c r="A43" t="inlineStr">
        <is>
          <t>12 Industry and competition</t>
        </is>
      </c>
      <c r="B43" s="26" t="inlineStr">
        <is>
          <t>Disposals: who bought and what they did next</t>
        </is>
      </c>
      <c r="C43" s="7" t="inlineStr"/>
      <c r="D43" s="7" t="inlineStr"/>
      <c r="E43" s="7" t="inlineStr"/>
    </row>
    <row r="44">
      <c r="A44" t="inlineStr">
        <is>
          <t>12 Industry and competition</t>
        </is>
      </c>
      <c r="B44" s="26" t="inlineStr">
        <is>
          <t>Arm's-length transactions in own shares - implied multiple</t>
        </is>
      </c>
      <c r="C44" s="7" t="inlineStr"/>
      <c r="D44" s="7" t="inlineStr"/>
      <c r="E44" s="7" t="inlineStr"/>
    </row>
  </sheetData>
  <dataValidations count="40">
    <dataValidation sqref="D5" showDropDown="0" showInputMessage="0" showErrorMessage="0" allowBlank="1" type="list">
      <formula1>"Yes,No"</formula1>
    </dataValidation>
    <dataValidation sqref="D6" showDropDown="0" showInputMessage="0" showErrorMessage="0" allowBlank="1" type="list">
      <formula1>"Yes,No"</formula1>
    </dataValidation>
    <dataValidation sqref="D7" showDropDown="0" showInputMessage="0" showErrorMessage="0" allowBlank="1" type="list">
      <formula1>"Yes,No"</formula1>
    </dataValidation>
    <dataValidation sqref="D8" showDropDown="0" showInputMessage="0" showErrorMessage="0" allowBlank="1" type="list">
      <formula1>"Yes,No"</formula1>
    </dataValidation>
    <dataValidation sqref="D9" showDropDown="0" showInputMessage="0" showErrorMessage="0" allowBlank="1" type="list">
      <formula1>"Yes,No"</formula1>
    </dataValidation>
    <dataValidation sqref="D10" showDropDown="0" showInputMessage="0" showErrorMessage="0" allowBlank="1" type="list">
      <formula1>"Yes,No"</formula1>
    </dataValidation>
    <dataValidation sqref="D11" showDropDown="0" showInputMessage="0" showErrorMessage="0" allowBlank="1" type="list">
      <formula1>"Yes,No"</formula1>
    </dataValidation>
    <dataValidation sqref="D12" showDropDown="0" showInputMessage="0" showErrorMessage="0" allowBlank="1" type="list">
      <formula1>"Yes,No"</formula1>
    </dataValidation>
    <dataValidation sqref="D13" showDropDown="0" showInputMessage="0" showErrorMessage="0" allowBlank="1" type="list">
      <formula1>"Yes,No"</formula1>
    </dataValidation>
    <dataValidation sqref="D14" showDropDown="0" showInputMessage="0" showErrorMessage="0" allowBlank="1" type="list">
      <formula1>"Yes,No"</formula1>
    </dataValidation>
    <dataValidation sqref="D15" showDropDown="0" showInputMessage="0" showErrorMessage="0" allowBlank="1" type="list">
      <formula1>"Yes,No"</formula1>
    </dataValidation>
    <dataValidation sqref="D16" showDropDown="0" showInputMessage="0" showErrorMessage="0" allowBlank="1" type="list">
      <formula1>"Yes,No"</formula1>
    </dataValidation>
    <dataValidation sqref="D17" showDropDown="0" showInputMessage="0" showErrorMessage="0" allowBlank="1" type="list">
      <formula1>"Yes,No"</formula1>
    </dataValidation>
    <dataValidation sqref="D18" showDropDown="0" showInputMessage="0" showErrorMessage="0" allowBlank="1" type="list">
      <formula1>"Yes,No"</formula1>
    </dataValidation>
    <dataValidation sqref="D19" showDropDown="0" showInputMessage="0" showErrorMessage="0" allowBlank="1" type="list">
      <formula1>"Yes,No"</formula1>
    </dataValidation>
    <dataValidation sqref="D20" showDropDown="0" showInputMessage="0" showErrorMessage="0" allowBlank="1" type="list">
      <formula1>"Yes,No"</formula1>
    </dataValidation>
    <dataValidation sqref="D21" showDropDown="0" showInputMessage="0" showErrorMessage="0" allowBlank="1" type="list">
      <formula1>"Yes,No"</formula1>
    </dataValidation>
    <dataValidation sqref="D22" showDropDown="0" showInputMessage="0" showErrorMessage="0" allowBlank="1" type="list">
      <formula1>"Yes,No"</formula1>
    </dataValidation>
    <dataValidation sqref="D23" showDropDown="0" showInputMessage="0" showErrorMessage="0" allowBlank="1" type="list">
      <formula1>"Yes,No"</formula1>
    </dataValidation>
    <dataValidation sqref="D24" showDropDown="0" showInputMessage="0" showErrorMessage="0" allowBlank="1" type="list">
      <formula1>"Yes,No"</formula1>
    </dataValidation>
    <dataValidation sqref="D25" showDropDown="0" showInputMessage="0" showErrorMessage="0" allowBlank="1" type="list">
      <formula1>"Yes,No"</formula1>
    </dataValidation>
    <dataValidation sqref="D26" showDropDown="0" showInputMessage="0" showErrorMessage="0" allowBlank="1" type="list">
      <formula1>"Yes,No"</formula1>
    </dataValidation>
    <dataValidation sqref="D27" showDropDown="0" showInputMessage="0" showErrorMessage="0" allowBlank="1" type="list">
      <formula1>"Yes,No"</formula1>
    </dataValidation>
    <dataValidation sqref="D28" showDropDown="0" showInputMessage="0" showErrorMessage="0" allowBlank="1" type="list">
      <formula1>"Yes,No"</formula1>
    </dataValidation>
    <dataValidation sqref="D29" showDropDown="0" showInputMessage="0" showErrorMessage="0" allowBlank="1" type="list">
      <formula1>"Yes,No"</formula1>
    </dataValidation>
    <dataValidation sqref="D30" showDropDown="0" showInputMessage="0" showErrorMessage="0" allowBlank="1" type="list">
      <formula1>"Yes,No"</formula1>
    </dataValidation>
    <dataValidation sqref="D31" showDropDown="0" showInputMessage="0" showErrorMessage="0" allowBlank="1" type="list">
      <formula1>"Yes,No"</formula1>
    </dataValidation>
    <dataValidation sqref="D32" showDropDown="0" showInputMessage="0" showErrorMessage="0" allowBlank="1" type="list">
      <formula1>"Yes,No"</formula1>
    </dataValidation>
    <dataValidation sqref="D33" showDropDown="0" showInputMessage="0" showErrorMessage="0" allowBlank="1" type="list">
      <formula1>"Yes,No"</formula1>
    </dataValidation>
    <dataValidation sqref="D34" showDropDown="0" showInputMessage="0" showErrorMessage="0" allowBlank="1" type="list">
      <formula1>"Yes,No"</formula1>
    </dataValidation>
    <dataValidation sqref="D35" showDropDown="0" showInputMessage="0" showErrorMessage="0" allowBlank="1" type="list">
      <formula1>"Yes,No"</formula1>
    </dataValidation>
    <dataValidation sqref="D36" showDropDown="0" showInputMessage="0" showErrorMessage="0" allowBlank="1" type="list">
      <formula1>"Yes,No"</formula1>
    </dataValidation>
    <dataValidation sqref="D37" showDropDown="0" showInputMessage="0" showErrorMessage="0" allowBlank="1" type="list">
      <formula1>"Yes,No"</formula1>
    </dataValidation>
    <dataValidation sqref="D38" showDropDown="0" showInputMessage="0" showErrorMessage="0" allowBlank="1" type="list">
      <formula1>"Yes,No"</formula1>
    </dataValidation>
    <dataValidation sqref="D39" showDropDown="0" showInputMessage="0" showErrorMessage="0" allowBlank="1" type="list">
      <formula1>"Yes,No"</formula1>
    </dataValidation>
    <dataValidation sqref="D40" showDropDown="0" showInputMessage="0" showErrorMessage="0" allowBlank="1" type="list">
      <formula1>"Yes,No"</formula1>
    </dataValidation>
    <dataValidation sqref="D41" showDropDown="0" showInputMessage="0" showErrorMessage="0" allowBlank="1" type="list">
      <formula1>"Yes,No"</formula1>
    </dataValidation>
    <dataValidation sqref="D42" showDropDown="0" showInputMessage="0" showErrorMessage="0" allowBlank="1" type="list">
      <formula1>"Yes,No"</formula1>
    </dataValidation>
    <dataValidation sqref="D43" showDropDown="0" showInputMessage="0" showErrorMessage="0" allowBlank="1" type="list">
      <formula1>"Yes,No"</formula1>
    </dataValidation>
    <dataValidation sqref="D44" showDropDown="0" showInputMessage="0" showErrorMessage="0" allowBlank="1" type="list">
      <formula1>"Yes,No"</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9"/>
  <sheetViews>
    <sheetView showGridLines="0" workbookViewId="0">
      <selection activeCell="A1" sqref="A1"/>
    </sheetView>
  </sheetViews>
  <sheetFormatPr baseColWidth="8" defaultRowHeight="15"/>
  <cols>
    <col width="40" customWidth="1" min="1" max="1"/>
    <col width="10" customWidth="1" min="2" max="2"/>
    <col width="48" customWidth="1" min="3" max="3"/>
    <col width="34" customWidth="1" min="4" max="4"/>
    <col width="18" customWidth="1" min="5" max="5"/>
    <col width="22" customWidth="1" min="6" max="6"/>
  </cols>
  <sheetData>
    <row r="1" ht="24" customHeight="1">
      <c r="A1" s="1" t="inlineStr">
        <is>
          <t>Data gaps - declared holes, never estimated</t>
        </is>
      </c>
    </row>
    <row r="2" ht="20" customHeight="1">
      <c r="A2" s="2" t="inlineStr">
        <is>
          <t>Parshwanath Capital Ventures Fund | SEBI Registered CAT III AIF | IN/AIF3/25-26/2108 | Fund Manager: CA Deep Dalal | Sponsor: Jignesh Shah</t>
        </is>
      </c>
    </row>
    <row r="4">
      <c r="A4" s="15" t="inlineStr">
        <is>
          <t>Item</t>
        </is>
      </c>
      <c r="B4" s="15" t="inlineStr">
        <is>
          <t>Severity</t>
        </is>
      </c>
      <c r="C4" s="15" t="inlineStr">
        <is>
          <t>Why it matters</t>
        </is>
      </c>
      <c r="D4" s="15" t="inlineStr">
        <is>
          <t>Source to try (BSE/NSE/MCA/ROC)</t>
        </is>
      </c>
      <c r="E4" s="15" t="inlineStr">
        <is>
          <t>Status</t>
        </is>
      </c>
      <c r="F4" s="15" t="inlineStr">
        <is>
          <t>Closed in RHP?</t>
        </is>
      </c>
    </row>
    <row r="5">
      <c r="A5" s="7" t="inlineStr">
        <is>
          <t>BRLM track record compilation</t>
        </is>
      </c>
      <c r="B5" s="7" t="inlineStr">
        <is>
          <t>Medium</t>
        </is>
      </c>
      <c r="C5" s="7" t="inlineStr">
        <is>
          <t>Required by SEBI circular; usually delegated to the BRLM website</t>
        </is>
      </c>
      <c r="D5" s="7" t="inlineStr"/>
      <c r="E5" s="7" t="inlineStr"/>
      <c r="F5" s="7" t="inlineStr"/>
    </row>
    <row r="6">
      <c r="A6" s="7" t="inlineStr"/>
      <c r="B6" s="7" t="inlineStr"/>
      <c r="C6" s="7" t="inlineStr"/>
      <c r="D6" s="7" t="inlineStr"/>
      <c r="E6" s="7" t="inlineStr"/>
      <c r="F6" s="7" t="inlineStr"/>
    </row>
    <row r="7">
      <c r="A7" s="7" t="inlineStr"/>
      <c r="B7" s="7" t="inlineStr"/>
      <c r="C7" s="7" t="inlineStr"/>
      <c r="D7" s="7" t="inlineStr"/>
      <c r="E7" s="7" t="inlineStr"/>
      <c r="F7" s="7" t="inlineStr"/>
    </row>
    <row r="8">
      <c r="A8" s="7" t="inlineStr"/>
      <c r="B8" s="7" t="inlineStr"/>
      <c r="C8" s="7" t="inlineStr"/>
      <c r="D8" s="7" t="inlineStr"/>
      <c r="E8" s="7" t="inlineStr"/>
      <c r="F8" s="7" t="inlineStr"/>
    </row>
    <row r="9">
      <c r="A9" s="7" t="inlineStr"/>
      <c r="B9" s="7" t="inlineStr"/>
      <c r="C9" s="7" t="inlineStr"/>
      <c r="D9" s="7" t="inlineStr"/>
      <c r="E9" s="7" t="inlineStr"/>
      <c r="F9" s="7" t="inlineStr"/>
    </row>
    <row r="10">
      <c r="A10" s="7" t="inlineStr"/>
      <c r="B10" s="7" t="inlineStr"/>
      <c r="C10" s="7" t="inlineStr"/>
      <c r="D10" s="7" t="inlineStr"/>
      <c r="E10" s="7" t="inlineStr"/>
      <c r="F10" s="7" t="inlineStr"/>
    </row>
    <row r="11">
      <c r="A11" s="7" t="inlineStr"/>
      <c r="B11" s="7" t="inlineStr"/>
      <c r="C11" s="7" t="inlineStr"/>
      <c r="D11" s="7" t="inlineStr"/>
      <c r="E11" s="7" t="inlineStr"/>
      <c r="F11" s="7" t="inlineStr"/>
    </row>
    <row r="12">
      <c r="A12" s="7" t="inlineStr"/>
      <c r="B12" s="7" t="inlineStr"/>
      <c r="C12" s="7" t="inlineStr"/>
      <c r="D12" s="7" t="inlineStr"/>
      <c r="E12" s="7" t="inlineStr"/>
      <c r="F12" s="7" t="inlineStr"/>
    </row>
    <row r="13">
      <c r="A13" s="7" t="inlineStr"/>
      <c r="B13" s="7" t="inlineStr"/>
      <c r="C13" s="7" t="inlineStr"/>
      <c r="D13" s="7" t="inlineStr"/>
      <c r="E13" s="7" t="inlineStr"/>
      <c r="F13" s="7" t="inlineStr"/>
    </row>
    <row r="14">
      <c r="A14" s="7" t="inlineStr"/>
      <c r="B14" s="7" t="inlineStr"/>
      <c r="C14" s="7" t="inlineStr"/>
      <c r="D14" s="7" t="inlineStr"/>
      <c r="E14" s="7" t="inlineStr"/>
      <c r="F14" s="7" t="inlineStr"/>
    </row>
    <row r="15">
      <c r="A15" s="7" t="inlineStr"/>
      <c r="B15" s="7" t="inlineStr"/>
      <c r="C15" s="7" t="inlineStr"/>
      <c r="D15" s="7" t="inlineStr"/>
      <c r="E15" s="7" t="inlineStr"/>
      <c r="F15" s="7" t="inlineStr"/>
    </row>
    <row r="16">
      <c r="A16" s="7" t="inlineStr"/>
      <c r="B16" s="7" t="inlineStr"/>
      <c r="C16" s="7" t="inlineStr"/>
      <c r="D16" s="7" t="inlineStr"/>
      <c r="E16" s="7" t="inlineStr"/>
      <c r="F16" s="7" t="inlineStr"/>
    </row>
    <row r="17">
      <c r="A17" s="7" t="inlineStr"/>
      <c r="B17" s="7" t="inlineStr"/>
      <c r="C17" s="7" t="inlineStr"/>
      <c r="D17" s="7" t="inlineStr"/>
      <c r="E17" s="7" t="inlineStr"/>
      <c r="F17" s="7" t="inlineStr"/>
    </row>
    <row r="18">
      <c r="A18" s="7" t="inlineStr"/>
      <c r="B18" s="7" t="inlineStr"/>
      <c r="C18" s="7" t="inlineStr"/>
      <c r="D18" s="7" t="inlineStr"/>
      <c r="E18" s="7" t="inlineStr"/>
      <c r="F18" s="7" t="inlineStr"/>
    </row>
    <row r="19">
      <c r="A19" s="7" t="inlineStr"/>
      <c r="B19" s="7" t="inlineStr"/>
      <c r="C19" s="7" t="inlineStr"/>
      <c r="D19" s="7" t="inlineStr"/>
      <c r="E19" s="7" t="inlineStr"/>
      <c r="F19" s="7" t="inlineStr"/>
    </row>
    <row r="20">
      <c r="A20" s="7" t="inlineStr"/>
      <c r="B20" s="7" t="inlineStr"/>
      <c r="C20" s="7" t="inlineStr"/>
      <c r="D20" s="7" t="inlineStr"/>
      <c r="E20" s="7" t="inlineStr"/>
      <c r="F20" s="7" t="inlineStr"/>
    </row>
    <row r="21">
      <c r="A21" s="7" t="inlineStr"/>
      <c r="B21" s="7" t="inlineStr"/>
      <c r="C21" s="7" t="inlineStr"/>
      <c r="D21" s="7" t="inlineStr"/>
      <c r="E21" s="7" t="inlineStr"/>
      <c r="F21" s="7" t="inlineStr"/>
    </row>
    <row r="22">
      <c r="A22" s="7" t="inlineStr"/>
      <c r="B22" s="7" t="inlineStr"/>
      <c r="C22" s="7" t="inlineStr"/>
      <c r="D22" s="7" t="inlineStr"/>
      <c r="E22" s="7" t="inlineStr"/>
      <c r="F22" s="7" t="inlineStr"/>
    </row>
    <row r="23">
      <c r="A23" s="7" t="inlineStr"/>
      <c r="B23" s="7" t="inlineStr"/>
      <c r="C23" s="7" t="inlineStr"/>
      <c r="D23" s="7" t="inlineStr"/>
      <c r="E23" s="7" t="inlineStr"/>
      <c r="F23" s="7" t="inlineStr"/>
    </row>
    <row r="24">
      <c r="A24" s="7" t="inlineStr"/>
      <c r="B24" s="7" t="inlineStr"/>
      <c r="C24" s="7" t="inlineStr"/>
      <c r="D24" s="7" t="inlineStr"/>
      <c r="E24" s="7" t="inlineStr"/>
      <c r="F24" s="7" t="inlineStr"/>
    </row>
    <row r="25">
      <c r="A25" s="7" t="inlineStr"/>
      <c r="B25" s="7" t="inlineStr"/>
      <c r="C25" s="7" t="inlineStr"/>
      <c r="D25" s="7" t="inlineStr"/>
      <c r="E25" s="7" t="inlineStr"/>
      <c r="F25" s="7" t="inlineStr"/>
    </row>
    <row r="26">
      <c r="A26" s="7" t="inlineStr"/>
      <c r="B26" s="7" t="inlineStr"/>
      <c r="C26" s="7" t="inlineStr"/>
      <c r="D26" s="7" t="inlineStr"/>
      <c r="E26" s="7" t="inlineStr"/>
      <c r="F26" s="7" t="inlineStr"/>
    </row>
    <row r="27">
      <c r="A27" s="7" t="inlineStr"/>
      <c r="B27" s="7" t="inlineStr"/>
      <c r="C27" s="7" t="inlineStr"/>
      <c r="D27" s="7" t="inlineStr"/>
      <c r="E27" s="7" t="inlineStr"/>
      <c r="F27" s="7" t="inlineStr"/>
    </row>
    <row r="28">
      <c r="A28" s="7" t="inlineStr"/>
      <c r="B28" s="7" t="inlineStr"/>
      <c r="C28" s="7" t="inlineStr"/>
      <c r="D28" s="7" t="inlineStr"/>
      <c r="E28" s="7" t="inlineStr"/>
      <c r="F28" s="7" t="inlineStr"/>
    </row>
    <row r="29">
      <c r="A29" s="7" t="inlineStr"/>
      <c r="B29" s="7" t="inlineStr"/>
      <c r="C29" s="7" t="inlineStr"/>
      <c r="D29" s="7" t="inlineStr"/>
      <c r="E29" s="7" t="inlineStr"/>
      <c r="F29" s="7" t="inlineStr"/>
    </row>
  </sheetData>
  <dataValidations count="75">
    <dataValidation sqref="B5" showDropDown="0" showInputMessage="0" showErrorMessage="0" allowBlank="1" type="list">
      <formula1>"High,Medium,Low"</formula1>
    </dataValidation>
    <dataValidation sqref="E5" showDropDown="0" showInputMessage="0" showErrorMessage="0" allowBlank="1" type="list">
      <formula1>"Open,Sourced,Asked issuer/BRLM"</formula1>
    </dataValidation>
    <dataValidation sqref="F5" showDropDown="0" showInputMessage="0" showErrorMessage="0" allowBlank="1" type="list">
      <formula1>"Closed,Closed unsatisfactorily,Ignored,-"</formula1>
    </dataValidation>
    <dataValidation sqref="B6" showDropDown="0" showInputMessage="0" showErrorMessage="0" allowBlank="1" type="list">
      <formula1>"High,Medium,Low"</formula1>
    </dataValidation>
    <dataValidation sqref="E6" showDropDown="0" showInputMessage="0" showErrorMessage="0" allowBlank="1" type="list">
      <formula1>"Open,Sourced,Asked issuer/BRLM"</formula1>
    </dataValidation>
    <dataValidation sqref="F6" showDropDown="0" showInputMessage="0" showErrorMessage="0" allowBlank="1" type="list">
      <formula1>"Closed,Closed unsatisfactorily,Ignored,-"</formula1>
    </dataValidation>
    <dataValidation sqref="B7" showDropDown="0" showInputMessage="0" showErrorMessage="0" allowBlank="1" type="list">
      <formula1>"High,Medium,Low"</formula1>
    </dataValidation>
    <dataValidation sqref="E7" showDropDown="0" showInputMessage="0" showErrorMessage="0" allowBlank="1" type="list">
      <formula1>"Open,Sourced,Asked issuer/BRLM"</formula1>
    </dataValidation>
    <dataValidation sqref="F7" showDropDown="0" showInputMessage="0" showErrorMessage="0" allowBlank="1" type="list">
      <formula1>"Closed,Closed unsatisfactorily,Ignored,-"</formula1>
    </dataValidation>
    <dataValidation sqref="B8" showDropDown="0" showInputMessage="0" showErrorMessage="0" allowBlank="1" type="list">
      <formula1>"High,Medium,Low"</formula1>
    </dataValidation>
    <dataValidation sqref="E8" showDropDown="0" showInputMessage="0" showErrorMessage="0" allowBlank="1" type="list">
      <formula1>"Open,Sourced,Asked issuer/BRLM"</formula1>
    </dataValidation>
    <dataValidation sqref="F8" showDropDown="0" showInputMessage="0" showErrorMessage="0" allowBlank="1" type="list">
      <formula1>"Closed,Closed unsatisfactorily,Ignored,-"</formula1>
    </dataValidation>
    <dataValidation sqref="B9" showDropDown="0" showInputMessage="0" showErrorMessage="0" allowBlank="1" type="list">
      <formula1>"High,Medium,Low"</formula1>
    </dataValidation>
    <dataValidation sqref="E9" showDropDown="0" showInputMessage="0" showErrorMessage="0" allowBlank="1" type="list">
      <formula1>"Open,Sourced,Asked issuer/BRLM"</formula1>
    </dataValidation>
    <dataValidation sqref="F9" showDropDown="0" showInputMessage="0" showErrorMessage="0" allowBlank="1" type="list">
      <formula1>"Closed,Closed unsatisfactorily,Ignored,-"</formula1>
    </dataValidation>
    <dataValidation sqref="B10" showDropDown="0" showInputMessage="0" showErrorMessage="0" allowBlank="1" type="list">
      <formula1>"High,Medium,Low"</formula1>
    </dataValidation>
    <dataValidation sqref="E10" showDropDown="0" showInputMessage="0" showErrorMessage="0" allowBlank="1" type="list">
      <formula1>"Open,Sourced,Asked issuer/BRLM"</formula1>
    </dataValidation>
    <dataValidation sqref="F10" showDropDown="0" showInputMessage="0" showErrorMessage="0" allowBlank="1" type="list">
      <formula1>"Closed,Closed unsatisfactorily,Ignored,-"</formula1>
    </dataValidation>
    <dataValidation sqref="B11" showDropDown="0" showInputMessage="0" showErrorMessage="0" allowBlank="1" type="list">
      <formula1>"High,Medium,Low"</formula1>
    </dataValidation>
    <dataValidation sqref="E11" showDropDown="0" showInputMessage="0" showErrorMessage="0" allowBlank="1" type="list">
      <formula1>"Open,Sourced,Asked issuer/BRLM"</formula1>
    </dataValidation>
    <dataValidation sqref="F11" showDropDown="0" showInputMessage="0" showErrorMessage="0" allowBlank="1" type="list">
      <formula1>"Closed,Closed unsatisfactorily,Ignored,-"</formula1>
    </dataValidation>
    <dataValidation sqref="B12" showDropDown="0" showInputMessage="0" showErrorMessage="0" allowBlank="1" type="list">
      <formula1>"High,Medium,Low"</formula1>
    </dataValidation>
    <dataValidation sqref="E12" showDropDown="0" showInputMessage="0" showErrorMessage="0" allowBlank="1" type="list">
      <formula1>"Open,Sourced,Asked issuer/BRLM"</formula1>
    </dataValidation>
    <dataValidation sqref="F12" showDropDown="0" showInputMessage="0" showErrorMessage="0" allowBlank="1" type="list">
      <formula1>"Closed,Closed unsatisfactorily,Ignored,-"</formula1>
    </dataValidation>
    <dataValidation sqref="B13" showDropDown="0" showInputMessage="0" showErrorMessage="0" allowBlank="1" type="list">
      <formula1>"High,Medium,Low"</formula1>
    </dataValidation>
    <dataValidation sqref="E13" showDropDown="0" showInputMessage="0" showErrorMessage="0" allowBlank="1" type="list">
      <formula1>"Open,Sourced,Asked issuer/BRLM"</formula1>
    </dataValidation>
    <dataValidation sqref="F13" showDropDown="0" showInputMessage="0" showErrorMessage="0" allowBlank="1" type="list">
      <formula1>"Closed,Closed unsatisfactorily,Ignored,-"</formula1>
    </dataValidation>
    <dataValidation sqref="B14" showDropDown="0" showInputMessage="0" showErrorMessage="0" allowBlank="1" type="list">
      <formula1>"High,Medium,Low"</formula1>
    </dataValidation>
    <dataValidation sqref="E14" showDropDown="0" showInputMessage="0" showErrorMessage="0" allowBlank="1" type="list">
      <formula1>"Open,Sourced,Asked issuer/BRLM"</formula1>
    </dataValidation>
    <dataValidation sqref="F14" showDropDown="0" showInputMessage="0" showErrorMessage="0" allowBlank="1" type="list">
      <formula1>"Closed,Closed unsatisfactorily,Ignored,-"</formula1>
    </dataValidation>
    <dataValidation sqref="B15" showDropDown="0" showInputMessage="0" showErrorMessage="0" allowBlank="1" type="list">
      <formula1>"High,Medium,Low"</formula1>
    </dataValidation>
    <dataValidation sqref="E15" showDropDown="0" showInputMessage="0" showErrorMessage="0" allowBlank="1" type="list">
      <formula1>"Open,Sourced,Asked issuer/BRLM"</formula1>
    </dataValidation>
    <dataValidation sqref="F15" showDropDown="0" showInputMessage="0" showErrorMessage="0" allowBlank="1" type="list">
      <formula1>"Closed,Closed unsatisfactorily,Ignored,-"</formula1>
    </dataValidation>
    <dataValidation sqref="B16" showDropDown="0" showInputMessage="0" showErrorMessage="0" allowBlank="1" type="list">
      <formula1>"High,Medium,Low"</formula1>
    </dataValidation>
    <dataValidation sqref="E16" showDropDown="0" showInputMessage="0" showErrorMessage="0" allowBlank="1" type="list">
      <formula1>"Open,Sourced,Asked issuer/BRLM"</formula1>
    </dataValidation>
    <dataValidation sqref="F16" showDropDown="0" showInputMessage="0" showErrorMessage="0" allowBlank="1" type="list">
      <formula1>"Closed,Closed unsatisfactorily,Ignored,-"</formula1>
    </dataValidation>
    <dataValidation sqref="B17" showDropDown="0" showInputMessage="0" showErrorMessage="0" allowBlank="1" type="list">
      <formula1>"High,Medium,Low"</formula1>
    </dataValidation>
    <dataValidation sqref="E17" showDropDown="0" showInputMessage="0" showErrorMessage="0" allowBlank="1" type="list">
      <formula1>"Open,Sourced,Asked issuer/BRLM"</formula1>
    </dataValidation>
    <dataValidation sqref="F17" showDropDown="0" showInputMessage="0" showErrorMessage="0" allowBlank="1" type="list">
      <formula1>"Closed,Closed unsatisfactorily,Ignored,-"</formula1>
    </dataValidation>
    <dataValidation sqref="B18" showDropDown="0" showInputMessage="0" showErrorMessage="0" allowBlank="1" type="list">
      <formula1>"High,Medium,Low"</formula1>
    </dataValidation>
    <dataValidation sqref="E18" showDropDown="0" showInputMessage="0" showErrorMessage="0" allowBlank="1" type="list">
      <formula1>"Open,Sourced,Asked issuer/BRLM"</formula1>
    </dataValidation>
    <dataValidation sqref="F18" showDropDown="0" showInputMessage="0" showErrorMessage="0" allowBlank="1" type="list">
      <formula1>"Closed,Closed unsatisfactorily,Ignored,-"</formula1>
    </dataValidation>
    <dataValidation sqref="B19" showDropDown="0" showInputMessage="0" showErrorMessage="0" allowBlank="1" type="list">
      <formula1>"High,Medium,Low"</formula1>
    </dataValidation>
    <dataValidation sqref="E19" showDropDown="0" showInputMessage="0" showErrorMessage="0" allowBlank="1" type="list">
      <formula1>"Open,Sourced,Asked issuer/BRLM"</formula1>
    </dataValidation>
    <dataValidation sqref="F19" showDropDown="0" showInputMessage="0" showErrorMessage="0" allowBlank="1" type="list">
      <formula1>"Closed,Closed unsatisfactorily,Ignored,-"</formula1>
    </dataValidation>
    <dataValidation sqref="B20" showDropDown="0" showInputMessage="0" showErrorMessage="0" allowBlank="1" type="list">
      <formula1>"High,Medium,Low"</formula1>
    </dataValidation>
    <dataValidation sqref="E20" showDropDown="0" showInputMessage="0" showErrorMessage="0" allowBlank="1" type="list">
      <formula1>"Open,Sourced,Asked issuer/BRLM"</formula1>
    </dataValidation>
    <dataValidation sqref="F20" showDropDown="0" showInputMessage="0" showErrorMessage="0" allowBlank="1" type="list">
      <formula1>"Closed,Closed unsatisfactorily,Ignored,-"</formula1>
    </dataValidation>
    <dataValidation sqref="B21" showDropDown="0" showInputMessage="0" showErrorMessage="0" allowBlank="1" type="list">
      <formula1>"High,Medium,Low"</formula1>
    </dataValidation>
    <dataValidation sqref="E21" showDropDown="0" showInputMessage="0" showErrorMessage="0" allowBlank="1" type="list">
      <formula1>"Open,Sourced,Asked issuer/BRLM"</formula1>
    </dataValidation>
    <dataValidation sqref="F21" showDropDown="0" showInputMessage="0" showErrorMessage="0" allowBlank="1" type="list">
      <formula1>"Closed,Closed unsatisfactorily,Ignored,-"</formula1>
    </dataValidation>
    <dataValidation sqref="B22" showDropDown="0" showInputMessage="0" showErrorMessage="0" allowBlank="1" type="list">
      <formula1>"High,Medium,Low"</formula1>
    </dataValidation>
    <dataValidation sqref="E22" showDropDown="0" showInputMessage="0" showErrorMessage="0" allowBlank="1" type="list">
      <formula1>"Open,Sourced,Asked issuer/BRLM"</formula1>
    </dataValidation>
    <dataValidation sqref="F22" showDropDown="0" showInputMessage="0" showErrorMessage="0" allowBlank="1" type="list">
      <formula1>"Closed,Closed unsatisfactorily,Ignored,-"</formula1>
    </dataValidation>
    <dataValidation sqref="B23" showDropDown="0" showInputMessage="0" showErrorMessage="0" allowBlank="1" type="list">
      <formula1>"High,Medium,Low"</formula1>
    </dataValidation>
    <dataValidation sqref="E23" showDropDown="0" showInputMessage="0" showErrorMessage="0" allowBlank="1" type="list">
      <formula1>"Open,Sourced,Asked issuer/BRLM"</formula1>
    </dataValidation>
    <dataValidation sqref="F23" showDropDown="0" showInputMessage="0" showErrorMessage="0" allowBlank="1" type="list">
      <formula1>"Closed,Closed unsatisfactorily,Ignored,-"</formula1>
    </dataValidation>
    <dataValidation sqref="B24" showDropDown="0" showInputMessage="0" showErrorMessage="0" allowBlank="1" type="list">
      <formula1>"High,Medium,Low"</formula1>
    </dataValidation>
    <dataValidation sqref="E24" showDropDown="0" showInputMessage="0" showErrorMessage="0" allowBlank="1" type="list">
      <formula1>"Open,Sourced,Asked issuer/BRLM"</formula1>
    </dataValidation>
    <dataValidation sqref="F24" showDropDown="0" showInputMessage="0" showErrorMessage="0" allowBlank="1" type="list">
      <formula1>"Closed,Closed unsatisfactorily,Ignored,-"</formula1>
    </dataValidation>
    <dataValidation sqref="B25" showDropDown="0" showInputMessage="0" showErrorMessage="0" allowBlank="1" type="list">
      <formula1>"High,Medium,Low"</formula1>
    </dataValidation>
    <dataValidation sqref="E25" showDropDown="0" showInputMessage="0" showErrorMessage="0" allowBlank="1" type="list">
      <formula1>"Open,Sourced,Asked issuer/BRLM"</formula1>
    </dataValidation>
    <dataValidation sqref="F25" showDropDown="0" showInputMessage="0" showErrorMessage="0" allowBlank="1" type="list">
      <formula1>"Closed,Closed unsatisfactorily,Ignored,-"</formula1>
    </dataValidation>
    <dataValidation sqref="B26" showDropDown="0" showInputMessage="0" showErrorMessage="0" allowBlank="1" type="list">
      <formula1>"High,Medium,Low"</formula1>
    </dataValidation>
    <dataValidation sqref="E26" showDropDown="0" showInputMessage="0" showErrorMessage="0" allowBlank="1" type="list">
      <formula1>"Open,Sourced,Asked issuer/BRLM"</formula1>
    </dataValidation>
    <dataValidation sqref="F26" showDropDown="0" showInputMessage="0" showErrorMessage="0" allowBlank="1" type="list">
      <formula1>"Closed,Closed unsatisfactorily,Ignored,-"</formula1>
    </dataValidation>
    <dataValidation sqref="B27" showDropDown="0" showInputMessage="0" showErrorMessage="0" allowBlank="1" type="list">
      <formula1>"High,Medium,Low"</formula1>
    </dataValidation>
    <dataValidation sqref="E27" showDropDown="0" showInputMessage="0" showErrorMessage="0" allowBlank="1" type="list">
      <formula1>"Open,Sourced,Asked issuer/BRLM"</formula1>
    </dataValidation>
    <dataValidation sqref="F27" showDropDown="0" showInputMessage="0" showErrorMessage="0" allowBlank="1" type="list">
      <formula1>"Closed,Closed unsatisfactorily,Ignored,-"</formula1>
    </dataValidation>
    <dataValidation sqref="B28" showDropDown="0" showInputMessage="0" showErrorMessage="0" allowBlank="1" type="list">
      <formula1>"High,Medium,Low"</formula1>
    </dataValidation>
    <dataValidation sqref="E28" showDropDown="0" showInputMessage="0" showErrorMessage="0" allowBlank="1" type="list">
      <formula1>"Open,Sourced,Asked issuer/BRLM"</formula1>
    </dataValidation>
    <dataValidation sqref="F28" showDropDown="0" showInputMessage="0" showErrorMessage="0" allowBlank="1" type="list">
      <formula1>"Closed,Closed unsatisfactorily,Ignored,-"</formula1>
    </dataValidation>
    <dataValidation sqref="B29" showDropDown="0" showInputMessage="0" showErrorMessage="0" allowBlank="1" type="list">
      <formula1>"High,Medium,Low"</formula1>
    </dataValidation>
    <dataValidation sqref="E29" showDropDown="0" showInputMessage="0" showErrorMessage="0" allowBlank="1" type="list">
      <formula1>"Open,Sourced,Asked issuer/BRLM"</formula1>
    </dataValidation>
    <dataValidation sqref="F29" showDropDown="0" showInputMessage="0" showErrorMessage="0" allowBlank="1" type="list">
      <formula1>"Closed,Closed unsatisfactorily,Ignored,-"</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C29"/>
  <sheetViews>
    <sheetView showGridLines="0" workbookViewId="0">
      <selection activeCell="A1" sqref="A1"/>
    </sheetView>
  </sheetViews>
  <sheetFormatPr baseColWidth="8" defaultRowHeight="15"/>
  <cols>
    <col width="2" customWidth="1" min="1" max="1"/>
    <col width="36" customWidth="1" min="2" max="2"/>
    <col width="90" customWidth="1" min="3" max="3"/>
  </cols>
  <sheetData>
    <row r="1" ht="24" customHeight="1">
      <c r="A1" s="1" t="inlineStr">
        <is>
          <t>Forensic scorecard and call</t>
        </is>
      </c>
    </row>
    <row r="2" ht="20" customHeight="1">
      <c r="A2" s="2" t="inlineStr">
        <is>
          <t>Parshwanath Capital Ventures Fund | SEBI Registered CAT III AIF | IN/AIF3/25-26/2108 | Fund Manager: CA Deep Dalal | Sponsor: Jignesh Shah</t>
        </is>
      </c>
    </row>
    <row r="4">
      <c r="B4" s="13">
        <f>'Basis'!$C$5&amp;"  |  "&amp;'Basis'!$C$7&amp;"  |  "&amp;'Basis'!$C$19</f>
        <v/>
      </c>
    </row>
    <row r="6">
      <c r="B6" s="15" t="inlineStr">
        <is>
          <t>Status</t>
        </is>
      </c>
      <c r="C6" s="15" t="inlineStr">
        <is>
          <t>Count</t>
        </is>
      </c>
    </row>
    <row r="7">
      <c r="B7" s="28" t="inlineStr">
        <is>
          <t>PASS</t>
        </is>
      </c>
      <c r="C7" s="12">
        <f>COUNTIF('Forensic Checks'!$E$5:$E$21,B7)</f>
        <v/>
      </c>
    </row>
    <row r="8">
      <c r="B8" s="28" t="inlineStr">
        <is>
          <t>WATCH</t>
        </is>
      </c>
      <c r="C8" s="12">
        <f>COUNTIF('Forensic Checks'!$E$5:$E$21,B8)</f>
        <v/>
      </c>
    </row>
    <row r="9">
      <c r="B9" s="28" t="inlineStr">
        <is>
          <t>FAIL</t>
        </is>
      </c>
      <c r="C9" s="12">
        <f>COUNTIF('Forensic Checks'!$E$5:$E$21,B9)</f>
        <v/>
      </c>
    </row>
    <row r="10">
      <c r="B10" s="28" t="inlineStr">
        <is>
          <t>N.A.</t>
        </is>
      </c>
      <c r="C10" s="12">
        <f>COUNTIF('Forensic Checks'!$E$5:$E$21,B10)</f>
        <v/>
      </c>
    </row>
    <row r="11">
      <c r="B11" s="28" t="inlineStr">
        <is>
          <t>OPEN</t>
        </is>
      </c>
      <c r="C11" s="12">
        <f>COUNTIF('Forensic Checks'!$E$5:$E$21,B11)</f>
        <v/>
      </c>
    </row>
    <row r="13">
      <c r="B13" s="28" t="inlineStr">
        <is>
          <t>Auto-metric WATCH flags</t>
        </is>
      </c>
      <c r="C13" s="12">
        <f>COUNTIF('Quick Metrics'!$E$1:$E$200,"WATCH")</f>
        <v/>
      </c>
    </row>
    <row r="14">
      <c r="B14" s="28" t="inlineStr">
        <is>
          <t>High-severity data gaps open</t>
        </is>
      </c>
      <c r="C14" s="12">
        <f>COUNTIFS('Data Gaps'!$B$5:$B$29,"High",'Data Gaps'!$E$5:$E$29,"Open")</f>
        <v/>
      </c>
    </row>
    <row r="15">
      <c r="B15" s="28" t="inlineStr">
        <is>
          <t>Staleness</t>
        </is>
      </c>
      <c r="C15" s="29">
        <f>'Basis'!$C$12</f>
        <v/>
      </c>
    </row>
    <row r="16">
      <c r="B16" s="28" t="inlineStr">
        <is>
          <t>Exit consistency</t>
        </is>
      </c>
      <c r="C16" s="29">
        <f>'Basis'!$C$20</f>
        <v/>
      </c>
    </row>
    <row r="18">
      <c r="B18" s="28" t="inlineStr">
        <is>
          <t>Screen outcome</t>
        </is>
      </c>
      <c r="C18" s="30">
        <f>IF(C9&gt;0,"FAIL items present - move to full DD only with explicit reasons",IF(C11&gt;0,"WATCH: "&amp;C11&amp;" checks still open - screen not complete",IF(C8+C13&gt;2,"WATCH: several watch items - full DD required","PASS to full due diligence")))</f>
        <v/>
      </c>
    </row>
    <row r="20">
      <c r="B20" s="28" t="inlineStr">
        <is>
          <t>Call (Subscribe / Avoid / Neutral)</t>
        </is>
      </c>
      <c r="C20" s="9" t="inlineStr"/>
    </row>
    <row r="22">
      <c r="B22" s="3" t="inlineStr">
        <is>
          <t>What would change our view (measurable, verifiable against the RHP)</t>
        </is>
      </c>
    </row>
    <row r="23">
      <c r="B23" s="28" t="inlineStr">
        <is>
          <t>1.</t>
        </is>
      </c>
      <c r="C23" s="7" t="inlineStr"/>
    </row>
    <row r="24">
      <c r="B24" s="28" t="inlineStr">
        <is>
          <t>2.</t>
        </is>
      </c>
      <c r="C24" s="7" t="inlineStr"/>
    </row>
    <row r="25">
      <c r="B25" s="28" t="inlineStr">
        <is>
          <t>3.</t>
        </is>
      </c>
      <c r="C25" s="7" t="inlineStr"/>
    </row>
    <row r="26">
      <c r="B26" s="28" t="inlineStr">
        <is>
          <t>4.</t>
        </is>
      </c>
      <c r="C26" s="7" t="inlineStr"/>
    </row>
    <row r="27">
      <c r="B27" s="28" t="inlineStr">
        <is>
          <t>5.</t>
        </is>
      </c>
      <c r="C27" s="7" t="inlineStr"/>
    </row>
    <row r="29">
      <c r="B29" s="3" t="inlineStr">
        <is>
          <t>For information only. Not an offer, solicitation or recommendation, and not investment advice or a research report. The Fund may hold or bid for securities of issuers discussed. Investments in securities market are subject to market risks. Read all the related documents carefully before investing. Registration granted by SEBI in no way guarantees performance of the Fund or provides any assurance of returns to investors.</t>
        </is>
      </c>
    </row>
  </sheetData>
  <conditionalFormatting sqref="C15:C16">
    <cfRule type="expression" priority="1" dxfId="0">
      <formula>LEFT(C15,3)="RED"</formula>
    </cfRule>
    <cfRule type="expression" priority="2" dxfId="0">
      <formula>LEFT(C15,4)="FAIL"</formula>
    </cfRule>
    <cfRule type="expression" priority="3" dxfId="0">
      <formula>LEFT(C15,12)="INCONSISTENT"</formula>
    </cfRule>
    <cfRule type="expression" priority="4" dxfId="0">
      <formula>LEFT(C15,10)="DEGENERATE"</formula>
    </cfRule>
    <cfRule type="expression" priority="5" dxfId="1">
      <formula>LEFT(C15,5)="AMBER"</formula>
    </cfRule>
    <cfRule type="expression" priority="6" dxfId="1">
      <formula>LEFT(C15,5)="WATCH"</formula>
    </cfRule>
    <cfRule type="expression" priority="7" dxfId="2">
      <formula>LEFT(C15,2)="OK"</formula>
    </cfRule>
    <cfRule type="expression" priority="8" dxfId="2">
      <formula>LEFT(C15,4)="PASS"</formula>
    </cfRule>
  </conditionalFormatting>
  <conditionalFormatting sqref="C18">
    <cfRule type="expression" priority="9" dxfId="0">
      <formula>LEFT(C18,3)="RED"</formula>
    </cfRule>
    <cfRule type="expression" priority="10" dxfId="0">
      <formula>LEFT(C18,4)="FAIL"</formula>
    </cfRule>
    <cfRule type="expression" priority="11" dxfId="0">
      <formula>LEFT(C18,12)="INCONSISTENT"</formula>
    </cfRule>
    <cfRule type="expression" priority="12" dxfId="0">
      <formula>LEFT(C18,10)="DEGENERATE"</formula>
    </cfRule>
    <cfRule type="expression" priority="13" dxfId="1">
      <formula>LEFT(C18,5)="AMBER"</formula>
    </cfRule>
    <cfRule type="expression" priority="14" dxfId="1">
      <formula>LEFT(C18,5)="WATCH"</formula>
    </cfRule>
    <cfRule type="expression" priority="15" dxfId="2">
      <formula>LEFT(C18,2)="OK"</formula>
    </cfRule>
    <cfRule type="expression" priority="16" dxfId="2">
      <formula>LEFT(C18,4)="PASS"</formula>
    </cfRule>
  </conditionalFormatting>
  <dataValidations count="1">
    <dataValidation sqref="C20" showDropDown="0" showInputMessage="0" showErrorMessage="0" allowBlank="1" type="list">
      <formula1>"Subscribe,Avoid,Neutral"</formula1>
    </dataValidation>
  </dataValidations>
  <pageMargins left="0.71" right="0.71" top="1" bottom="1" header="0.5" footer="0.5"/>
  <pageSetup paperSize="9"/>
  <headerFooter>
    <oddHeader/>
    <oddFooter>&amp;LParshwanath Capital Ventures Fund | SEBI Registered CAT III AIF | IN/AIF3/25-26/2108 | Fund Manager: CA Deep Dalal | Sponsor: Jignesh Shah&amp;RPage &amp;P of &amp;N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2026-10-29T09:39:14Z</dcterms:created>
  <dcterms:modified xmlns:dcterms="http://purl.org/dc/terms/" xmlns:xsi="http://www.w3.org/2001/XMLSchema-instance" xsi:type="dcterms:W3CDTF">2026-10-29T09:39:14Z</dcterms:modified>
</cp:coreProperties>
</file>