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Tonbo Imaging India Limited</t>
        </is>
      </c>
      <c r="D8" s="21" t="inlineStr"/>
    </row>
    <row r="9">
      <c r="B9" s="19" t="inlineStr">
        <is>
          <t>Financial basis</t>
        </is>
      </c>
      <c r="C9" s="20" t="inlineStr">
        <is>
          <t>Consolidated</t>
        </is>
      </c>
      <c r="D9" s="21" t="inlineStr"/>
      <c r="E9" s="17" t="inlineStr">
        <is>
          <t>Use the same basis for every peer</t>
        </is>
      </c>
    </row>
    <row r="10">
      <c r="B10" s="19" t="inlineStr">
        <is>
          <t>Pre-issue shares, fully diluted (post any bonus)</t>
        </is>
      </c>
      <c r="C10" s="15" t="n">
        <v>5.72821</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1.2174046</v>
      </c>
      <c r="D14" s="21" t="inlineStr">
        <is>
          <t>crore</t>
        </is>
      </c>
    </row>
    <row r="15">
      <c r="B15" s="19" t="inlineStr">
        <is>
          <t>Price band - floor</t>
        </is>
      </c>
      <c r="C15" s="15" t="n">
        <v>665</v>
      </c>
      <c r="D15" s="21" t="inlineStr">
        <is>
          <t>Rs</t>
        </is>
      </c>
    </row>
    <row r="16">
      <c r="B16" s="19" t="inlineStr">
        <is>
          <t>Price band - cap</t>
        </is>
      </c>
      <c r="C16" s="15" t="n">
        <v>700</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0</v>
      </c>
      <c r="D18" s="21" t="inlineStr">
        <is>
          <t>Rs cr</t>
        </is>
      </c>
    </row>
    <row r="19">
      <c r="B19" s="19" t="inlineStr">
        <is>
          <t>Offer expenses as % of fresh issue</t>
        </is>
      </c>
      <c r="C19" s="16" t="n">
        <v>0</v>
      </c>
      <c r="D19" s="21" t="inlineStr"/>
    </row>
    <row r="20">
      <c r="B20" s="19" t="inlineStr">
        <is>
          <t>GCP as % of fresh issue</t>
        </is>
      </c>
      <c r="C20" s="16" t="n">
        <v>0</v>
      </c>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362.648</v>
      </c>
      <c r="D25" s="21" t="inlineStr">
        <is>
          <t>Rs cr</t>
        </is>
      </c>
    </row>
    <row r="26">
      <c r="B26" s="19" t="inlineStr">
        <is>
          <t>Revenue - prior year</t>
        </is>
      </c>
      <c r="C26" s="15" t="n">
        <v>469.08</v>
      </c>
      <c r="D26" s="21" t="inlineStr">
        <is>
          <t>Rs cr</t>
        </is>
      </c>
    </row>
    <row r="27">
      <c r="B27" s="19" t="inlineStr">
        <is>
          <t>EBITDA (ties to issuer KPI table)</t>
        </is>
      </c>
      <c r="C27" s="15" t="n">
        <v>104.618</v>
      </c>
      <c r="D27" s="21" t="inlineStr">
        <is>
          <t>Rs cr</t>
        </is>
      </c>
    </row>
    <row r="28">
      <c r="B28" s="19" t="inlineStr">
        <is>
          <t>Depreciation &amp; amortisation</t>
        </is>
      </c>
      <c r="C28" s="15" t="n">
        <v>31.335</v>
      </c>
      <c r="D28" s="21" t="inlineStr">
        <is>
          <t>Rs cr</t>
        </is>
      </c>
    </row>
    <row r="29">
      <c r="B29" s="19" t="inlineStr">
        <is>
          <t>PAT</t>
        </is>
      </c>
      <c r="C29" s="15" t="n">
        <v>50.88</v>
      </c>
      <c r="D29" s="21" t="inlineStr">
        <is>
          <t>Rs cr</t>
        </is>
      </c>
    </row>
    <row r="30">
      <c r="B30" s="19" t="inlineStr">
        <is>
          <t>Net worth (pre-issue)</t>
        </is>
      </c>
      <c r="C30" s="15" t="n">
        <v>553.159</v>
      </c>
      <c r="D30" s="21" t="inlineStr">
        <is>
          <t>Rs cr</t>
        </is>
      </c>
    </row>
    <row r="31">
      <c r="B31" s="19" t="inlineStr">
        <is>
          <t>Net debt (borrowings - cash)</t>
        </is>
      </c>
      <c r="C31" s="15" t="n">
        <v>77.432</v>
      </c>
      <c r="D31" s="21" t="inlineStr">
        <is>
          <t>Rs cr</t>
        </is>
      </c>
    </row>
    <row r="32">
      <c r="B32" s="19" t="inlineStr">
        <is>
          <t>Net working capital</t>
        </is>
      </c>
      <c r="C32" s="15" t="n">
        <v>397.705</v>
      </c>
      <c r="D32" s="21" t="inlineStr">
        <is>
          <t>Rs cr</t>
        </is>
      </c>
      <c r="E32" s="17" t="inlineStr">
        <is>
          <t>Reconcile to Objects-chapter WC table</t>
        </is>
      </c>
    </row>
    <row r="33">
      <c r="B33" s="19" t="inlineStr">
        <is>
          <t>Net working capital - prior year</t>
        </is>
      </c>
      <c r="C33" s="15" t="n">
        <v>300.311</v>
      </c>
      <c r="D33" s="21" t="inlineStr">
        <is>
          <t>Rs cr</t>
        </is>
      </c>
    </row>
    <row r="34">
      <c r="B34" s="19" t="inlineStr">
        <is>
          <t>Capex (purchase of PPE + intangibles)</t>
        </is>
      </c>
      <c r="C34" s="15" t="n">
        <v>39.345</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0.08500000000000001</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0.1</v>
      </c>
      <c r="F67" s="16" t="n">
        <v>0.25</v>
      </c>
      <c r="G67" s="16" t="n">
        <v>0.4</v>
      </c>
      <c r="H67" s="20" t="inlineStr">
        <is>
          <t>FY26 revenue fell 22.69% to Rs 3,626.48 m (p. 144). Order book Rs 3,142.40 m at 30-Jun-2026 (0.87x FY26 revenue) plus Rs 1,181.52 m of orders received Jul-Sep 2026 (p. 250), incl. a Rs 514.41 m export order deferred from FY26 (p. 23). Q1 FY27 revenue only Rs 360.08 m. Bear: slow execution; Neutral: FY27 back near FY25; Bull: full conversion of the book.</t>
        </is>
      </c>
    </row>
    <row r="68">
      <c r="B68" t="inlineStr">
        <is>
          <t>Revenue growth Y2</t>
        </is>
      </c>
      <c r="C68" s="23">
        <f>INDEX(E68:G68,Assumptions!$C$5)</f>
        <v/>
      </c>
      <c r="E68" s="16" t="n">
        <v>0.08</v>
      </c>
      <c r="F68" s="16" t="n">
        <v>0.2</v>
      </c>
      <c r="G68" s="16" t="n">
        <v>0.3</v>
      </c>
      <c r="H68" s="20" t="inlineStr">
        <is>
          <t>[rationale + page]</t>
        </is>
      </c>
    </row>
    <row r="69">
      <c r="B69" t="inlineStr">
        <is>
          <t>Revenue growth Y3</t>
        </is>
      </c>
      <c r="C69" s="23">
        <f>INDEX(E69:G69,Assumptions!$C$5)</f>
        <v/>
      </c>
      <c r="E69" s="16" t="n">
        <v>0.07000000000000001</v>
      </c>
      <c r="F69" s="16" t="n">
        <v>0.18</v>
      </c>
      <c r="G69" s="16" t="n">
        <v>0.25</v>
      </c>
      <c r="H69" s="20" t="inlineStr">
        <is>
          <t>[rationale + page]</t>
        </is>
      </c>
    </row>
    <row r="70">
      <c r="B70" t="inlineStr">
        <is>
          <t>Revenue growth Y4</t>
        </is>
      </c>
      <c r="C70" s="23">
        <f>INDEX(E70:G70,Assumptions!$C$5)</f>
        <v/>
      </c>
      <c r="E70" s="16" t="n">
        <v>0.06</v>
      </c>
      <c r="F70" s="16" t="n">
        <v>0.15</v>
      </c>
      <c r="G70" s="16" t="n">
        <v>0.2</v>
      </c>
      <c r="H70" s="20" t="inlineStr">
        <is>
          <t>[rationale + page]</t>
        </is>
      </c>
    </row>
    <row r="71">
      <c r="B71" t="inlineStr">
        <is>
          <t>Revenue growth Y5</t>
        </is>
      </c>
      <c r="C71" s="23">
        <f>INDEX(E71:G71,Assumptions!$C$5)</f>
        <v/>
      </c>
      <c r="E71" s="16" t="n">
        <v>0.05</v>
      </c>
      <c r="F71" s="16" t="n">
        <v>0.12</v>
      </c>
      <c r="G71" s="16" t="n">
        <v>0.15</v>
      </c>
      <c r="H71" s="20" t="inlineStr">
        <is>
          <t>[rationale + page]</t>
        </is>
      </c>
    </row>
    <row r="72">
      <c r="B72" t="inlineStr">
        <is>
          <t>EBITDA margin Y1-Y5</t>
        </is>
      </c>
      <c r="C72" s="23">
        <f>INDEX(E72:G72,Assumptions!$C$5)</f>
        <v/>
      </c>
      <c r="E72" s="16" t="n">
        <v>0.24</v>
      </c>
      <c r="F72" s="16" t="n">
        <v>0.28</v>
      </c>
      <c r="G72" s="16" t="n">
        <v>0.3</v>
      </c>
      <c r="H72" s="20" t="inlineStr">
        <is>
          <t>EBITDA margin 26.23% / 29.65% / 28.85% FY24-26 (p. 144); Q1 FY27 is a seasonal low-revenue quarter. Neutral uses the three-year average (28.2%); Bear allows for tender price pressure; Bull holds the FY25 level.</t>
        </is>
      </c>
    </row>
    <row r="73">
      <c r="B73" t="inlineStr">
        <is>
          <t>Net working capital % revenue</t>
        </is>
      </c>
      <c r="C73" s="23">
        <f>INDEX(E73:G73,Assumptions!$C$5)</f>
        <v/>
      </c>
      <c r="E73" s="16" t="n">
        <v>0.9</v>
      </c>
      <c r="F73" s="16" t="n">
        <v>0.7</v>
      </c>
      <c r="G73" s="16" t="n">
        <v>0.5</v>
      </c>
      <c r="H73" s="20" t="inlineStr">
        <is>
          <t>Trade NWC 43.2% / 64.0% / 109.7% of revenue FY24-26 (p. 87). FY26 is inflated by orders deferred into FY27 and stock bought ahead of them (pp. 23, 25). Neutral uses the three-year average (about 70%); high working capital is normal for Indian defence electronics (Data Patterns: 365-432 working-capital days, p. 147). Bull returns to the FY24 level; Bear keeps most of the FY26 build.</t>
        </is>
      </c>
    </row>
    <row r="74">
      <c r="B74" t="inlineStr">
        <is>
          <t>Terminal ROIC</t>
        </is>
      </c>
      <c r="C74" s="23">
        <f>INDEX(E74:G74,Assumptions!$C$5)</f>
        <v/>
      </c>
      <c r="E74" s="16" t="n">
        <v>0.12</v>
      </c>
      <c r="F74" s="16" t="n">
        <v>0.16</v>
      </c>
      <c r="G74" s="16" t="n">
        <v>0.22</v>
      </c>
      <c r="H74" s="20" t="inlineStr">
        <is>
          <t>Issuer ROCE 67.76% / 27.41% / 14.54% FY24-26 (p. 144). Neutral terminal ROIC 16%, just above the 14.2% WACC: the business has earned well above its cost of capital in two of three years.</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Paras Defence and Space Technologies Ltd (per share)</t>
        </is>
      </c>
      <c r="C5" s="20" t="inlineStr">
        <is>
          <t>Y</t>
        </is>
      </c>
      <c r="D5" s="20" t="inlineStr">
        <is>
          <t>Defence electro-optics and electronics - issuer's peer, p. 141</t>
        </is>
      </c>
      <c r="E5" s="20" t="inlineStr">
        <is>
          <t>Consolidated</t>
        </is>
      </c>
      <c r="F5" s="15" t="n">
        <v>1286.95</v>
      </c>
      <c r="G5" s="15" t="n">
        <v>1</v>
      </c>
      <c r="H5" s="15" t="n"/>
      <c r="I5" s="15" t="n"/>
      <c r="J5" s="15" t="n"/>
      <c r="K5" s="15" t="n">
        <v>10.93</v>
      </c>
      <c r="L5" s="15" t="n">
        <v>90.02</v>
      </c>
      <c r="M5" s="16" t="n">
        <v>0.3069</v>
      </c>
      <c r="N5" s="13">
        <f>IF(F5="","",F5*G5)</f>
        <v/>
      </c>
      <c r="O5" s="13">
        <f>IF(N5="","",N5+H5)</f>
        <v/>
      </c>
      <c r="P5" s="27">
        <f>IF(AND(C5="Y",N(K5)&gt;0),N5/K5,"")</f>
        <v/>
      </c>
      <c r="Q5" s="27">
        <f>IF(AND(C5="Y",N(J5)&gt;0),O5/J5,"")</f>
        <v/>
      </c>
      <c r="R5" s="27">
        <f>IF(AND(C5="Y",N(L5)&gt;0),N5/L5,"")</f>
        <v/>
      </c>
      <c r="S5" s="10">
        <f>IF(N(I5)&gt;0,J5/I5,"")</f>
        <v/>
      </c>
      <c r="T5" s="10">
        <f>IF(N(L5)&gt;0,K5/L5,"")</f>
        <v/>
      </c>
    </row>
    <row r="6">
      <c r="B6" s="20" t="inlineStr">
        <is>
          <t>Data Patterns (India) Ltd (per share)</t>
        </is>
      </c>
      <c r="C6" s="20" t="inlineStr">
        <is>
          <t>Y</t>
        </is>
      </c>
      <c r="D6" s="20" t="inlineStr">
        <is>
          <t>Defence electronics systems - issuer's peer, p. 141</t>
        </is>
      </c>
      <c r="E6" s="20" t="inlineStr">
        <is>
          <t>Standalone</t>
        </is>
      </c>
      <c r="F6" s="15" t="n">
        <v>4231</v>
      </c>
      <c r="G6" s="15" t="n">
        <v>1</v>
      </c>
      <c r="H6" s="15" t="n"/>
      <c r="I6" s="15" t="n"/>
      <c r="J6" s="15" t="n"/>
      <c r="K6" s="15" t="n">
        <v>48.47</v>
      </c>
      <c r="L6" s="15" t="n">
        <v>310.08</v>
      </c>
      <c r="M6" s="16" t="n">
        <v>0.3055</v>
      </c>
      <c r="N6" s="13">
        <f>IF(F6="","",F6*G6)</f>
        <v/>
      </c>
      <c r="O6" s="13">
        <f>IF(N6="","",N6+H6)</f>
        <v/>
      </c>
      <c r="P6" s="27">
        <f>IF(AND(C6="Y",N(K6)&gt;0),N6/K6,"")</f>
        <v/>
      </c>
      <c r="Q6" s="27">
        <f>IF(AND(C6="Y",N(J6)&gt;0),O6/J6,"")</f>
        <v/>
      </c>
      <c r="R6" s="27">
        <f>IF(AND(C6="Y",N(L6)&gt;0),N6/L6,"")</f>
        <v/>
      </c>
      <c r="S6" s="10">
        <f>IF(N(I6)&gt;0,J6/I6,"")</f>
        <v/>
      </c>
      <c r="T6" s="10">
        <f>IF(N(L6)&gt;0,K6/L6,"")</f>
        <v/>
      </c>
    </row>
    <row r="7">
      <c r="B7" s="20" t="inlineStr">
        <is>
          <t>Astra Microwave Products Ltd (per share)</t>
        </is>
      </c>
      <c r="C7" s="20" t="inlineStr">
        <is>
          <t>Y</t>
        </is>
      </c>
      <c r="D7" s="20" t="inlineStr">
        <is>
          <t>Defence RF/microwave sub-systems - issuer's peer, p. 141</t>
        </is>
      </c>
      <c r="E7" s="20" t="inlineStr">
        <is>
          <t>Consolidated</t>
        </is>
      </c>
      <c r="F7" s="15" t="n">
        <v>1701.15</v>
      </c>
      <c r="G7" s="15" t="n">
        <v>1</v>
      </c>
      <c r="H7" s="15" t="n"/>
      <c r="I7" s="15" t="n"/>
      <c r="J7" s="15" t="n"/>
      <c r="K7" s="15" t="n">
        <v>20.27</v>
      </c>
      <c r="L7" s="15" t="n">
        <v>138.46</v>
      </c>
      <c r="M7" s="16" t="n">
        <v>0.1062</v>
      </c>
      <c r="N7" s="13">
        <f>IF(F7="","",F7*G7)</f>
        <v/>
      </c>
      <c r="O7" s="13">
        <f>IF(N7="","",N7+H7)</f>
        <v/>
      </c>
      <c r="P7" s="27">
        <f>IF(AND(C7="Y",N(K7)&gt;0),N7/K7,"")</f>
        <v/>
      </c>
      <c r="Q7" s="27">
        <f>IF(AND(C7="Y",N(J7)&gt;0),O7/J7,"")</f>
        <v/>
      </c>
      <c r="R7" s="27">
        <f>IF(AND(C7="Y",N(L7)&gt;0),N7/L7,"")</f>
        <v/>
      </c>
      <c r="S7" s="10">
        <f>IF(N(I7)&gt;0,J7/I7,"")</f>
        <v/>
      </c>
      <c r="T7" s="10">
        <f>IF(N(L7)&gt;0,K7/L7,"")</f>
        <v/>
      </c>
    </row>
    <row r="8">
      <c r="B8" s="20" t="inlineStr">
        <is>
          <t>Zen Technologies Ltd (per share)</t>
        </is>
      </c>
      <c r="C8" s="20" t="inlineStr">
        <is>
          <t>Y</t>
        </is>
      </c>
      <c r="D8" s="20" t="inlineStr">
        <is>
          <t>Defence simulators and anti-drone - issuer's peer, p. 141</t>
        </is>
      </c>
      <c r="E8" s="20" t="inlineStr">
        <is>
          <t>Consolidated</t>
        </is>
      </c>
      <c r="F8" s="15" t="n">
        <v>1580.35</v>
      </c>
      <c r="G8" s="15" t="n">
        <v>1</v>
      </c>
      <c r="H8" s="15" t="n"/>
      <c r="I8" s="15" t="n"/>
      <c r="J8" s="15" t="n"/>
      <c r="K8" s="15" t="n">
        <v>21.52</v>
      </c>
      <c r="L8" s="15" t="n">
        <v>209.22</v>
      </c>
      <c r="M8" s="16" t="n">
        <v>-0.2937</v>
      </c>
      <c r="N8" s="13">
        <f>IF(F8="","",F8*G8)</f>
        <v/>
      </c>
      <c r="O8" s="13">
        <f>IF(N8="","",N8+H8)</f>
        <v/>
      </c>
      <c r="P8" s="27">
        <f>IF(AND(C8="Y",N(K8)&gt;0),N8/K8,"")</f>
        <v/>
      </c>
      <c r="Q8" s="27">
        <f>IF(AND(C8="Y",N(J8)&gt;0),O8/J8,"")</f>
        <v/>
      </c>
      <c r="R8" s="27">
        <f>IF(AND(C8="Y",N(L8)&gt;0),N8/L8,"")</f>
        <v/>
      </c>
      <c r="S8" s="10">
        <f>IF(N(I8)&gt;0,J8/I8,"")</f>
        <v/>
      </c>
      <c r="T8" s="10">
        <f>IF(N(L8)&gt;0,K8/L8,"")</f>
        <v/>
      </c>
    </row>
    <row r="9">
      <c r="B9" s="20" t="inlineStr">
        <is>
          <t>Bharat Electronics Ltd (per share)</t>
        </is>
      </c>
      <c r="C9" s="20" t="inlineStr">
        <is>
          <t>N</t>
        </is>
      </c>
      <c r="D9" s="20" t="inlineStr">
        <is>
          <t>PSU defence electronics major, revenue 76x the issuer's - excluded on scale and ownership</t>
        </is>
      </c>
      <c r="E9" s="20" t="inlineStr">
        <is>
          <t>Consolidated</t>
        </is>
      </c>
      <c r="F9" s="15" t="n">
        <v>378.85</v>
      </c>
      <c r="G9" s="15" t="n">
        <v>1</v>
      </c>
      <c r="H9" s="15" t="n"/>
      <c r="I9" s="15" t="n"/>
      <c r="J9" s="15" t="n"/>
      <c r="K9" s="15" t="n">
        <v>8.289999999999999</v>
      </c>
      <c r="L9" s="15" t="n">
        <v>32.82</v>
      </c>
      <c r="M9" s="16" t="n">
        <v>0.1616</v>
      </c>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2026-10-20T11:32:00Z</dcterms:created>
  <dcterms:modified xmlns:dcterms="http://purl.org/dc/terms/" xmlns:xsi="http://www.w3.org/2001/XMLSchema-instance" xsi:type="dcterms:W3CDTF">2026-10-20T11:32:01Z</dcterms:modified>
</cp:coreProperties>
</file>