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Tonbo Imaging India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v>700</v>
      </c>
      <c r="D7" s="9" t="inlineStr">
        <is>
          <t>Rs/share</t>
        </is>
      </c>
    </row>
    <row r="8">
      <c r="B8" s="7" t="inlineStr">
        <is>
          <t>Anchor allocation price</t>
        </is>
      </c>
      <c r="C8" s="11" t="n">
        <v>700</v>
      </c>
      <c r="D8" s="9" t="inlineStr">
        <is>
          <t>Rs/share</t>
        </is>
      </c>
      <c r="E8" s="10" t="inlineStr">
        <is>
          <t>If offer price &gt; anchor price, anchors pay the difference; if lower, no refund</t>
        </is>
      </c>
    </row>
    <row r="9">
      <c r="B9" s="7" t="inlineStr">
        <is>
          <t>Total issue size</t>
        </is>
      </c>
      <c r="C9" s="11" t="n">
        <v>852.1832000000001</v>
      </c>
      <c r="D9" s="9" t="inlineStr">
        <is>
          <t>Rs cr</t>
        </is>
      </c>
      <c r="E9" s="10" t="inlineStr">
        <is>
          <t>Fresh + OFS</t>
        </is>
      </c>
    </row>
    <row r="10">
      <c r="B10" s="7" t="inlineStr">
        <is>
          <t>Employee reservation</t>
        </is>
      </c>
      <c r="C10" s="11" t="n">
        <v>0.98</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46309</v>
      </c>
      <c r="D31" s="9" t="inlineStr"/>
      <c r="E31" s="10" t="inlineStr">
        <is>
          <t>One working day before issue opens</t>
        </is>
      </c>
    </row>
    <row r="32">
      <c r="B32" s="7" t="inlineStr">
        <is>
          <t>Allotment date (basis of allotment)</t>
        </is>
      </c>
      <c r="C32" s="16" t="n">
        <v>46316</v>
      </c>
      <c r="D32" s="9" t="inlineStr"/>
      <c r="E32" s="10" t="inlineStr">
        <is>
          <t>Lock-in runs from this date</t>
        </is>
      </c>
    </row>
    <row r="33">
      <c r="B33" s="7" t="inlineStr">
        <is>
          <t>Listing date</t>
        </is>
      </c>
      <c r="C33" s="16" t="n">
        <v>46318</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572.821</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shareholders (excl. AIFs Yali and Tenacity, and the ESOP trust)</t>
        </is>
      </c>
      <c r="C11" s="11" t="n">
        <v>287.07</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 121; six months from allotment</t>
        </is>
      </c>
    </row>
    <row r="12">
      <c r="B12" s="18" t="inlineStr">
        <is>
          <t>Promoters' contribution incl. CEAQ Singapore shortfall shares (20% of post-issue capital)</t>
        </is>
      </c>
      <c r="C12" s="11" t="n">
        <v>114.56</v>
      </c>
      <c r="D12" s="15" t="n">
        <v>540</v>
      </c>
      <c r="E12" s="24">
        <f>'Inputs'!$C$32+D12</f>
        <v/>
      </c>
      <c r="F12" s="19">
        <f>$C$5+SUMIF($E$9:$E$15,"&lt;"&amp;E12,$C$9:$C$15)</f>
        <v/>
      </c>
      <c r="G12" s="22">
        <f>IF(F12&gt;0,C12/F12,0)</f>
        <v/>
      </c>
      <c r="H12" s="19">
        <f>SUMIF($E$9:$E$15,"&lt;="&amp;E12,$C$9:$C$15)</f>
        <v/>
      </c>
      <c r="I12" s="20">
        <f>IF(C12=0,"-",IF(G12&gt;0.25,"RED: large cliff vs float",IF(G12&gt;0.1,"AMBER: watch","OK")))</f>
        <v/>
      </c>
      <c r="J12" s="10" t="inlineStr">
        <is>
          <t>pp. 119-120; 18 months from allotment</t>
        </is>
      </c>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2026-10-19T12:43:06Z</dcterms:created>
  <dcterms:modified xmlns:dcterms="http://purl.org/dc/terms/" xmlns:xsi="http://www.w3.org/2001/XMLSchema-instance" xsi:type="dcterms:W3CDTF">2026-10-19T12:43:06Z</dcterms:modified>
</cp:coreProperties>
</file>