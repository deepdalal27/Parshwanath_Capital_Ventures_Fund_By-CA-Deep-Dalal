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Allocation" sheetId="3" state="visible" r:id="rId3"/>
    <sheet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Royal Chain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c r="D7" s="9" t="inlineStr">
        <is>
          <t>Rs/share</t>
        </is>
      </c>
    </row>
    <row r="8">
      <c r="B8" s="7" t="inlineStr">
        <is>
          <t>Anchor allocation price</t>
        </is>
      </c>
      <c r="C8" s="11" t="n"/>
      <c r="D8" s="9" t="inlineStr">
        <is>
          <t>Rs/share</t>
        </is>
      </c>
      <c r="E8" s="10" t="inlineStr">
        <is>
          <t>If offer price &gt; anchor price, anchors pay the difference; if lower, no refund</t>
        </is>
      </c>
    </row>
    <row r="9">
      <c r="B9" s="7" t="inlineStr">
        <is>
          <t>Total issue size</t>
        </is>
      </c>
      <c r="C9" s="11" t="n">
        <v>1000</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LMJF Capital Advisors LLP</t>
        </is>
      </c>
      <c r="C11" s="11" t="n">
        <v>73.3032</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pp. 79-80; 6 months - confirm in RHP</t>
        </is>
      </c>
    </row>
    <row r="12">
      <c r="B12" s="18" t="inlineStr">
        <is>
          <t>Promoter group (4 family members, 3.00 lakh each)</t>
        </is>
      </c>
      <c r="C12" s="11" t="n">
        <v>12</v>
      </c>
      <c r="D12" s="15" t="n">
        <v>180</v>
      </c>
      <c r="E12" s="24">
        <f>'Inputs'!$C$32+D12</f>
        <v/>
      </c>
      <c r="F12" s="19">
        <f>$C$5+SUMIF($E$9:$E$15,"&lt;"&amp;E12,$C$9:$C$15)</f>
        <v/>
      </c>
      <c r="G12" s="22">
        <f>IF(F12&gt;0,C12/F12,0)</f>
        <v/>
      </c>
      <c r="H12" s="19">
        <f>SUMIF($E$9:$E$15,"&lt;="&amp;E12,$C$9:$C$15)</f>
        <v/>
      </c>
      <c r="I12" s="20">
        <f>IF(C12=0,"-",IF(G12&gt;0.25,"RED: large cliff vs float",IF(G12&gt;0.1,"AMBER: watch","OK")))</f>
        <v/>
      </c>
      <c r="J12" s="10" t="inlineStr">
        <is>
          <t>p. 80; confirm in RHP</t>
        </is>
      </c>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2026-10-04T15:51:35Z</dcterms:created>
  <dcterms:modified xsi:type="dcterms:W3CDTF">2026-10-04T15:51:35Z</dcterms:modified>
</cp:coreProperties>
</file>