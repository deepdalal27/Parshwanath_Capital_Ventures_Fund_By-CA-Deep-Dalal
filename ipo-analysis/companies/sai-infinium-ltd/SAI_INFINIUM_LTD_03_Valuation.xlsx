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4" fillId="2"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Sai Infinium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29.8327183</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280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1.2</v>
      </c>
      <c r="D14" s="21" t="inlineStr">
        <is>
          <t>crore</t>
        </is>
      </c>
    </row>
    <row r="15">
      <c r="B15" s="19" t="inlineStr">
        <is>
          <t>Price band - floor</t>
        </is>
      </c>
      <c r="C15" s="15" t="n">
        <v>90</v>
      </c>
      <c r="D15" s="21" t="inlineStr">
        <is>
          <t>Rs</t>
        </is>
      </c>
    </row>
    <row r="16">
      <c r="B16" s="19" t="inlineStr">
        <is>
          <t>Price band - cap</t>
        </is>
      </c>
      <c r="C16" s="15" t="n">
        <v>90</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210</v>
      </c>
      <c r="D18" s="21" t="inlineStr">
        <is>
          <t>Rs cr</t>
        </is>
      </c>
    </row>
    <row r="19">
      <c r="B19" s="19" t="inlineStr">
        <is>
          <t>Offer expenses as % of fresh issue</t>
        </is>
      </c>
      <c r="C19" s="16" t="n">
        <v>0.05</v>
      </c>
      <c r="D19" s="21" t="inlineStr"/>
    </row>
    <row r="20">
      <c r="B20" s="19" t="inlineStr">
        <is>
          <t>GCP as % of fresh issue</t>
        </is>
      </c>
      <c r="C20" s="16" t="n">
        <v>0.2</v>
      </c>
      <c r="D20" s="21" t="inlineStr"/>
      <c r="E20" s="17" t="inlineStr">
        <is>
          <t>Check against regulatory cap</t>
        </is>
      </c>
    </row>
    <row r="21">
      <c r="B21" s="19" t="inlineStr">
        <is>
          <t>IPO-funded capex object</t>
        </is>
      </c>
      <c r="C21" s="15" t="n">
        <v>210</v>
      </c>
      <c r="D21" s="21" t="inlineStr">
        <is>
          <t>Rs cr</t>
        </is>
      </c>
    </row>
    <row r="22">
      <c r="B22" s="19" t="inlineStr">
        <is>
          <t>Share of IPO capex spent in Y1 (rest in Y2)</t>
        </is>
      </c>
      <c r="C22" s="16" t="n">
        <v>0.2</v>
      </c>
      <c r="D22" s="21" t="inlineStr"/>
    </row>
    <row r="24">
      <c r="B24" s="4" t="inlineStr">
        <is>
          <t>Latest audited year (restated) - never annualise a stub</t>
        </is>
      </c>
    </row>
    <row r="25">
      <c r="B25" s="19" t="inlineStr">
        <is>
          <t>Revenue from operations</t>
        </is>
      </c>
      <c r="C25" s="15" t="n">
        <v>689.162</v>
      </c>
      <c r="D25" s="21" t="inlineStr">
        <is>
          <t>Rs cr</t>
        </is>
      </c>
    </row>
    <row r="26">
      <c r="B26" s="19" t="inlineStr">
        <is>
          <t>Revenue - prior year</t>
        </is>
      </c>
      <c r="C26" s="15" t="n">
        <v>528.674</v>
      </c>
      <c r="D26" s="21" t="inlineStr">
        <is>
          <t>Rs cr</t>
        </is>
      </c>
    </row>
    <row r="27">
      <c r="B27" s="19" t="inlineStr">
        <is>
          <t>EBITDA (ties to issuer KPI table)</t>
        </is>
      </c>
      <c r="C27" s="15" t="n">
        <v>128.188</v>
      </c>
      <c r="D27" s="21" t="inlineStr">
        <is>
          <t>Rs cr</t>
        </is>
      </c>
    </row>
    <row r="28">
      <c r="B28" s="19" t="inlineStr">
        <is>
          <t>Depreciation &amp; amortisation</t>
        </is>
      </c>
      <c r="C28" s="15" t="n">
        <v>10.016</v>
      </c>
      <c r="D28" s="21" t="inlineStr">
        <is>
          <t>Rs cr</t>
        </is>
      </c>
    </row>
    <row r="29">
      <c r="B29" s="19" t="inlineStr">
        <is>
          <t>PAT</t>
        </is>
      </c>
      <c r="C29" s="15" t="n">
        <v>82.379</v>
      </c>
      <c r="D29" s="21" t="inlineStr">
        <is>
          <t>Rs cr</t>
        </is>
      </c>
    </row>
    <row r="30">
      <c r="B30" s="19" t="inlineStr">
        <is>
          <t>Net worth (pre-issue)</t>
        </is>
      </c>
      <c r="C30" s="15" t="n">
        <v>392.31</v>
      </c>
      <c r="D30" s="21" t="inlineStr">
        <is>
          <t>Rs cr</t>
        </is>
      </c>
    </row>
    <row r="31">
      <c r="B31" s="19" t="inlineStr">
        <is>
          <t>Net debt (borrowings - cash)</t>
        </is>
      </c>
      <c r="C31" s="15" t="n">
        <v>330.625</v>
      </c>
      <c r="D31" s="21" t="inlineStr">
        <is>
          <t>Rs cr</t>
        </is>
      </c>
    </row>
    <row r="32">
      <c r="B32" s="19" t="inlineStr">
        <is>
          <t>Net working capital</t>
        </is>
      </c>
      <c r="C32" s="15" t="n">
        <v>52.917</v>
      </c>
      <c r="D32" s="21" t="inlineStr">
        <is>
          <t>Rs cr</t>
        </is>
      </c>
      <c r="E32" s="17" t="inlineStr">
        <is>
          <t>Reconcile to Objects-chapter WC table</t>
        </is>
      </c>
    </row>
    <row r="33">
      <c r="B33" s="19" t="inlineStr">
        <is>
          <t>Net working capital - prior year</t>
        </is>
      </c>
      <c r="C33" s="15" t="n">
        <v>117.574</v>
      </c>
      <c r="D33" s="21" t="inlineStr">
        <is>
          <t>Rs cr</t>
        </is>
      </c>
    </row>
    <row r="34">
      <c r="B34" s="19" t="inlineStr">
        <is>
          <t>Capex (purchase of PPE + intangibles)</t>
        </is>
      </c>
      <c r="C34" s="15" t="n">
        <v>391.978</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t="n">
        <v>0.49</v>
      </c>
      <c r="D62" s="21" t="inlineStr"/>
      <c r="E62" s="17" t="inlineStr">
        <is>
          <t>Override from facts (see rationale)</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0.15</v>
      </c>
      <c r="G67" s="16" t="n">
        <v>0.3</v>
      </c>
      <c r="H67" s="20" t="inlineStr">
        <is>
          <t>Revenue Rs 4,682.07 m / 5,286.74 m / 6,891.62 m FY24-FY26 (+12.9%, +30.4%). Manufactured-goods revenue rose only 4.7% in FY26 (Rs 4,372.39 m to Rs 4,578.76 m; TMT volume 85,093 t, -1.8%, realisation -4.0%); the rest of the growth is other operating income, up Rs 1,654.31 m to Rs 1,894.65 m, of which non-ferrous scrap Rs 1,520.64 m (pp. 290, 529-530). Structural steel began in Feb-2026 (5,978 t, Rs 359.63 m, 5.5% of 108,000 t capacity, p. 292); Rolling Mill 3 would double that capacity by 31-Dec-2026 (p. 298), and CARE (commissioned by the issuer) projects TMT demand at 8% a year to FY30 (p. 236). Bear assumes scrap and trading revenue normalises (-5% in Y1), the new mills ramp slowly and the IPO-funded melting shop is not built; Neutral assumes structural steel reaches about 33% of Rolling Mill 2's 108,000 t in Y1 (about 36,000 t, roughly Rs 217 cr) net of lower scrap sales, then both mills are in use from Y2 (Rolling Mill 3 from 31-Dec-2026) to about 45-50% of 216,000 t by Y5 at Rs 60,000 a tonne; Bull assumes 65-70% use of the new mills and billet self-sufficiency after the melting shop.</t>
        </is>
      </c>
    </row>
    <row r="68">
      <c r="B68" t="inlineStr">
        <is>
          <t>Revenue growth Y2</t>
        </is>
      </c>
      <c r="C68" s="23">
        <f>INDEX(E68:G68,Assumptions!$C$5)</f>
        <v/>
      </c>
      <c r="E68" s="16" t="n">
        <v>0.08</v>
      </c>
      <c r="F68" s="16" t="n">
        <v>0.2</v>
      </c>
      <c r="G68" s="16" t="n">
        <v>0.3</v>
      </c>
      <c r="H68" s="20" t="inlineStr">
        <is>
          <t>[rationale + page]</t>
        </is>
      </c>
    </row>
    <row r="69">
      <c r="B69" t="inlineStr">
        <is>
          <t>Revenue growth Y3</t>
        </is>
      </c>
      <c r="C69" s="23">
        <f>INDEX(E69:G69,Assumptions!$C$5)</f>
        <v/>
      </c>
      <c r="E69" s="16" t="n">
        <v>0.08</v>
      </c>
      <c r="F69" s="16" t="n">
        <v>0.15</v>
      </c>
      <c r="G69" s="16" t="n">
        <v>0.2</v>
      </c>
      <c r="H69" s="20" t="inlineStr">
        <is>
          <t>[rationale + page]</t>
        </is>
      </c>
    </row>
    <row r="70">
      <c r="B70" t="inlineStr">
        <is>
          <t>Revenue growth Y4</t>
        </is>
      </c>
      <c r="C70" s="23">
        <f>INDEX(E70:G70,Assumptions!$C$5)</f>
        <v/>
      </c>
      <c r="E70" s="16" t="n">
        <v>0.06</v>
      </c>
      <c r="F70" s="16" t="n">
        <v>0.1</v>
      </c>
      <c r="G70" s="16" t="n">
        <v>0.12</v>
      </c>
      <c r="H70" s="20" t="inlineStr">
        <is>
          <t>[rationale + page]</t>
        </is>
      </c>
    </row>
    <row r="71">
      <c r="B71" t="inlineStr">
        <is>
          <t>Revenue growth Y5</t>
        </is>
      </c>
      <c r="C71" s="23">
        <f>INDEX(E71:G71,Assumptions!$C$5)</f>
        <v/>
      </c>
      <c r="E71" s="16" t="n">
        <v>0.05</v>
      </c>
      <c r="F71" s="16" t="n">
        <v>0.08</v>
      </c>
      <c r="G71" s="16" t="n">
        <v>0.1</v>
      </c>
      <c r="H71" s="20" t="inlineStr">
        <is>
          <t>[rationale + page]</t>
        </is>
      </c>
    </row>
    <row r="72">
      <c r="B72" t="inlineStr">
        <is>
          <t>EBITDA margin Y1-Y5</t>
        </is>
      </c>
      <c r="C72" s="23">
        <f>INDEX(E72:G72,Assumptions!$C$5)</f>
        <v/>
      </c>
      <c r="E72" s="16" t="n">
        <v>0.08</v>
      </c>
      <c r="F72" s="16" t="n">
        <v>0.124</v>
      </c>
      <c r="G72" s="16" t="n">
        <v>0.16</v>
      </c>
      <c r="H72" s="20" t="inlineStr">
        <is>
          <t>EBITDA margin 5.91% / 10.17% / 18.60% FY24-FY26 (p. 179); gross margin 25.2% / 30.2% / 31.8% and other expenses 17.8% / 18.1% / 11.2% of revenue (p. 450). The FY26 step-up coincides with a 22.1% revenue share from non-ferrous scrap whose margin is not disclosed, and FY25 included Rs 147.09 m of commission that fell to Rs 12.51 m. Neutral uses the three-year weighted margin of 12.4% (EBITDA Rs 2,096.47 m on revenue Rs 16,860.43 m); Bear 8% sits between the FY24 and FY25 margins; Bull 16% is below FY26 because the scrap margin is unconfirmed.</t>
        </is>
      </c>
    </row>
    <row r="73">
      <c r="B73" t="inlineStr">
        <is>
          <t>Net working capital % revenue</t>
        </is>
      </c>
      <c r="C73" s="23">
        <f>INDEX(E73:G73,Assumptions!$C$5)</f>
        <v/>
      </c>
      <c r="E73" s="16" t="n">
        <v>0.22</v>
      </c>
      <c r="F73" s="16" t="n">
        <v>0.19</v>
      </c>
      <c r="G73" s="16" t="n">
        <v>0.12</v>
      </c>
      <c r="H73" s="20" t="inlineStr">
        <is>
          <t>Net working capital (inventory + trade receivables - trade payables) was 26.8% / 22.2% / 7.7% of revenue FY24-FY26 (98 / 81 / 28 days, p. 505; reproduces from pp. 409, 440-441, 446). FY26 is low because inventory fell from Rs 1,971.87 m to Rs 789.40 m and payables rose by Rs 740 m less than FY25; the three-year average is 18.9%. Neutral uses 19%; Bear holds 22% (the FY25 level); Bull assumes 12%, a rebuild to about 40 inventory days plus normal payables.</t>
        </is>
      </c>
    </row>
    <row r="74">
      <c r="B74" t="inlineStr">
        <is>
          <t>Terminal ROIC</t>
        </is>
      </c>
      <c r="C74" s="23">
        <f>INDEX(E74:G74,Assumptions!$C$5)</f>
        <v/>
      </c>
      <c r="E74" s="16" t="n">
        <v>0.11</v>
      </c>
      <c r="F74" s="16" t="n">
        <v>0.15</v>
      </c>
      <c r="G74" s="16" t="n">
        <v>0.18</v>
      </c>
      <c r="H74" s="20" t="inlineStr">
        <is>
          <t>ROCE per the DRHP 8.47% / 20.88% / 16.73% (p. 179), on a capital base that grew from Rs 2.9 bn to Rs 7.5 bn in FY26 with Rolling Mill 2 only just in production and the captive power plant not yet complete. Neutral terminal ROIC of 15% is the three-year average and sits just above the 14.5% WACC; Bear 11% is below WACC (a stress case: capex built ahead of demand); Bull 18% is the FY26 level.</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Vraj Iron and Steel Ltd</t>
        </is>
      </c>
      <c r="C5" s="20" t="inlineStr">
        <is>
          <t>Y</t>
        </is>
      </c>
      <c r="D5" s="20" t="inlineStr">
        <is>
          <t>Semi-integrated sponge iron, billets and TMT; named by the issuer (p. 178)</t>
        </is>
      </c>
      <c r="E5" s="20" t="inlineStr">
        <is>
          <t>Consolidated (standalone where stated)</t>
        </is>
      </c>
      <c r="F5" s="15" t="n">
        <v>125.88</v>
      </c>
      <c r="G5" s="15" t="n">
        <v>3.2983</v>
      </c>
      <c r="H5" s="15" t="n">
        <v>36.873</v>
      </c>
      <c r="I5" s="15" t="n">
        <v>587.924</v>
      </c>
      <c r="J5" s="15" t="n">
        <v>56.728</v>
      </c>
      <c r="K5" s="15" t="n">
        <v>32.005</v>
      </c>
      <c r="L5" s="15" t="n">
        <v>429.795</v>
      </c>
      <c r="M5" s="16" t="n">
        <v>-0.4538</v>
      </c>
      <c r="N5" s="13">
        <f>IF(F5="","",F5*G5)</f>
        <v/>
      </c>
      <c r="O5" s="13">
        <f>IF(N5="","",N5+H5)</f>
        <v/>
      </c>
      <c r="P5" s="27">
        <f>IF(AND(C5="Y",N(K5)&gt;0),N5/K5,"")</f>
        <v/>
      </c>
      <c r="Q5" s="27">
        <f>IF(AND(C5="Y",N(J5)&gt;0),O5/J5,"")</f>
        <v/>
      </c>
      <c r="R5" s="27">
        <f>IF(AND(C5="Y",N(L5)&gt;0),N5/L5,"")</f>
        <v/>
      </c>
      <c r="S5" s="10">
        <f>IF(N(I5)&gt;0,J5/I5,"")</f>
        <v/>
      </c>
      <c r="T5" s="10">
        <f>IF(N(L5)&gt;0,K5/L5,"")</f>
        <v/>
      </c>
    </row>
    <row r="6">
      <c r="B6" s="20" t="inlineStr">
        <is>
          <t>Rudra Global Infra Products Ltd</t>
        </is>
      </c>
      <c r="C6" s="20" t="inlineStr">
        <is>
          <t>Y</t>
        </is>
      </c>
      <c r="D6" s="20" t="inlineStr">
        <is>
          <t>TMT bars and long steel; named by the issuer (p. 178)</t>
        </is>
      </c>
      <c r="E6" s="20" t="inlineStr">
        <is>
          <t>Consolidated (standalone where stated)</t>
        </is>
      </c>
      <c r="F6" s="15" t="n">
        <v>20.1</v>
      </c>
      <c r="G6" s="15" t="n">
        <v>10.038</v>
      </c>
      <c r="H6" s="15" t="n">
        <v>134.005</v>
      </c>
      <c r="I6" s="15" t="n">
        <v>622.829</v>
      </c>
      <c r="J6" s="15" t="n">
        <v>36.916</v>
      </c>
      <c r="K6" s="15" t="n">
        <v>13.519</v>
      </c>
      <c r="L6" s="15" t="n">
        <v>138.725</v>
      </c>
      <c r="M6" s="16" t="n">
        <v>0.3111</v>
      </c>
      <c r="N6" s="13">
        <f>IF(F6="","",F6*G6)</f>
        <v/>
      </c>
      <c r="O6" s="13">
        <f>IF(N6="","",N6+H6)</f>
        <v/>
      </c>
      <c r="P6" s="27">
        <f>IF(AND(C6="Y",N(K6)&gt;0),N6/K6,"")</f>
        <v/>
      </c>
      <c r="Q6" s="27">
        <f>IF(AND(C6="Y",N(J6)&gt;0),O6/J6,"")</f>
        <v/>
      </c>
      <c r="R6" s="27">
        <f>IF(AND(C6="Y",N(L6)&gt;0),N6/L6,"")</f>
        <v/>
      </c>
      <c r="S6" s="10">
        <f>IF(N(I6)&gt;0,J6/I6,"")</f>
        <v/>
      </c>
      <c r="T6" s="10">
        <f>IF(N(L6)&gt;0,K6/L6,"")</f>
        <v/>
      </c>
    </row>
    <row r="7">
      <c r="B7" s="20" t="inlineStr">
        <is>
          <t>VMS TMT Ltd (standalone)</t>
        </is>
      </c>
      <c r="C7" s="20" t="inlineStr">
        <is>
          <t>Y</t>
        </is>
      </c>
      <c r="D7" s="20" t="inlineStr">
        <is>
          <t>Gujarat TMT maker; closest regional peer (p. 178)</t>
        </is>
      </c>
      <c r="E7" s="20" t="inlineStr">
        <is>
          <t>Consolidated (standalone where stated)</t>
        </is>
      </c>
      <c r="F7" s="15" t="n">
        <v>47.23</v>
      </c>
      <c r="G7" s="15" t="n">
        <v>4.9626</v>
      </c>
      <c r="H7" s="15" t="n">
        <v>220.861</v>
      </c>
      <c r="I7" s="15" t="n">
        <v>838.557</v>
      </c>
      <c r="J7" s="15" t="n">
        <v>60.676</v>
      </c>
      <c r="K7" s="15" t="n">
        <v>21.034</v>
      </c>
      <c r="L7" s="15" t="n">
        <v>228.133</v>
      </c>
      <c r="M7" s="16" t="n">
        <v>0.4953</v>
      </c>
      <c r="N7" s="13">
        <f>IF(F7="","",F7*G7)</f>
        <v/>
      </c>
      <c r="O7" s="13">
        <f>IF(N7="","",N7+H7)</f>
        <v/>
      </c>
      <c r="P7" s="27">
        <f>IF(AND(C7="Y",N(K7)&gt;0),N7/K7,"")</f>
        <v/>
      </c>
      <c r="Q7" s="27">
        <f>IF(AND(C7="Y",N(J7)&gt;0),O7/J7,"")</f>
        <v/>
      </c>
      <c r="R7" s="27">
        <f>IF(AND(C7="Y",N(L7)&gt;0),N7/L7,"")</f>
        <v/>
      </c>
      <c r="S7" s="10">
        <f>IF(N(I7)&gt;0,J7/I7,"")</f>
        <v/>
      </c>
      <c r="T7" s="10">
        <f>IF(N(L7)&gt;0,K7/L7,"")</f>
        <v/>
      </c>
    </row>
    <row r="8">
      <c r="B8" s="20" t="inlineStr">
        <is>
          <t>Gallantt Ispat Ltd</t>
        </is>
      </c>
      <c r="C8" s="20" t="inlineStr">
        <is>
          <t>Y</t>
        </is>
      </c>
      <c r="D8" s="20" t="inlineStr">
        <is>
          <t>Integrated sponge iron, billets, TMT and power; much larger (p. 178)</t>
        </is>
      </c>
      <c r="E8" s="20" t="inlineStr">
        <is>
          <t>Consolidated (standalone where stated)</t>
        </is>
      </c>
      <c r="F8" s="15" t="n">
        <v>545.7</v>
      </c>
      <c r="G8" s="15" t="n">
        <v>24.1286</v>
      </c>
      <c r="H8" s="15" t="n">
        <v>42.987</v>
      </c>
      <c r="I8" s="15" t="n">
        <v>4418.922</v>
      </c>
      <c r="J8" s="15" t="n">
        <v>716.444</v>
      </c>
      <c r="K8" s="15" t="n">
        <v>484.268</v>
      </c>
      <c r="L8" s="15" t="n">
        <v>3316.235</v>
      </c>
      <c r="M8" s="16" t="n">
        <v>0.0294</v>
      </c>
      <c r="N8" s="13">
        <f>IF(F8="","",F8*G8)</f>
        <v/>
      </c>
      <c r="O8" s="13">
        <f>IF(N8="","",N8+H8)</f>
        <v/>
      </c>
      <c r="P8" s="27">
        <f>IF(AND(C8="Y",N(K8)&gt;0),N8/K8,"")</f>
        <v/>
      </c>
      <c r="Q8" s="27">
        <f>IF(AND(C8="Y",N(J8)&gt;0),O8/J8,"")</f>
        <v/>
      </c>
      <c r="R8" s="27">
        <f>IF(AND(C8="Y",N(L8)&gt;0),N8/L8,"")</f>
        <v/>
      </c>
      <c r="S8" s="10">
        <f>IF(N(I8)&gt;0,J8/I8,"")</f>
        <v/>
      </c>
      <c r="T8" s="10">
        <f>IF(N(L8)&gt;0,K8/L8,"")</f>
        <v/>
      </c>
    </row>
    <row r="9">
      <c r="B9" s="20" t="inlineStr">
        <is>
          <t>MSP Steel Power Ltd</t>
        </is>
      </c>
      <c r="C9" s="20" t="inlineStr">
        <is>
          <t>N</t>
        </is>
      </c>
      <c r="D9" s="20" t="inlineStr">
        <is>
          <t>Integrated steel; P/E 59.12x on ROE 3.28% and net debt 16.5x EBITDA, not meaningful (pp. 178, 183)</t>
        </is>
      </c>
      <c r="E9" s="20" t="inlineStr">
        <is>
          <t>Consolidated (standalone where stated)</t>
        </is>
      </c>
      <c r="F9" s="15" t="n">
        <v>33.39</v>
      </c>
      <c r="G9" s="15" t="n">
        <v>56.683</v>
      </c>
      <c r="H9" s="15" t="n">
        <v>2924.119</v>
      </c>
      <c r="I9" s="15" t="n">
        <v>2842.964</v>
      </c>
      <c r="J9" s="15" t="n">
        <v>177.65</v>
      </c>
      <c r="K9" s="15" t="n">
        <v>33.771</v>
      </c>
      <c r="L9" s="15" t="n">
        <v>1030.497</v>
      </c>
      <c r="M9" s="16" t="n">
        <v>-0.0214</v>
      </c>
      <c r="N9" s="13">
        <f>IF(F9="","",F9*G9)</f>
        <v/>
      </c>
      <c r="O9" s="13">
        <f>IF(N9="","",N9+H9)</f>
        <v/>
      </c>
      <c r="P9" s="27">
        <f>IF(AND(C9="Y",N(K9)&gt;0),N9/K9,"")</f>
        <v/>
      </c>
      <c r="Q9" s="27">
        <f>IF(AND(C9="Y",N(J9)&gt;0),O9/J9,"")</f>
        <v/>
      </c>
      <c r="R9" s="27">
        <f>IF(AND(C9="Y",N(L9)&gt;0),N9/L9,"")</f>
        <v/>
      </c>
      <c r="S9" s="10">
        <f>IF(N(I9)&gt;0,J9/I9,"")</f>
        <v/>
      </c>
      <c r="T9" s="10">
        <f>IF(N(L9)&gt;0,K9/L9,"")</f>
        <v/>
      </c>
    </row>
    <row r="10">
      <c r="B10" s="20" t="inlineStr">
        <is>
          <t>VMS Industries Ltd (standalone)</t>
        </is>
      </c>
      <c r="C10" s="20" t="inlineStr">
        <is>
          <t>N</t>
        </is>
      </c>
      <c r="D10" s="20" t="inlineStr">
        <is>
          <t>Small, EBITDA margin 4.3% and ROE 1.5%; P/E 30x on thin earnings (pp. 178, 183)</t>
        </is>
      </c>
      <c r="E10" s="20" t="inlineStr">
        <is>
          <t>Consolidated (standalone where stated)</t>
        </is>
      </c>
      <c r="F10" s="15" t="n">
        <v>18.02</v>
      </c>
      <c r="G10" s="15" t="n">
        <v>2.4473</v>
      </c>
      <c r="H10" s="15" t="n">
        <v>13.496</v>
      </c>
      <c r="I10" s="15" t="n">
        <v>157.431</v>
      </c>
      <c r="J10" s="15" t="n">
        <v>6.748</v>
      </c>
      <c r="K10" s="15" t="n">
        <v>1.463</v>
      </c>
      <c r="L10" s="15" t="n">
        <v>97.158</v>
      </c>
      <c r="M10" s="16" t="n">
        <v>-0.4544</v>
      </c>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2026-10-23T13:48:11Z</dcterms:created>
  <dcterms:modified xsi:type="dcterms:W3CDTF">2026-10-23T13:48:11Z</dcterms:modified>
</cp:coreProperties>
</file>