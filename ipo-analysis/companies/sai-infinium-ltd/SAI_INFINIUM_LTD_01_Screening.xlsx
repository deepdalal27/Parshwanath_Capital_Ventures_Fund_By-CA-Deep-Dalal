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Basis" sheetId="2" state="visible" r:id="rId2"/>
    <sheet name="Quick Metrics" sheetId="3" state="visible" r:id="rId3"/>
    <sheet name="Forensic Checks" sheetId="4" state="visible" r:id="rId4"/>
    <sheet name="Work Blocks" sheetId="5" state="visible" r:id="rId5"/>
    <sheet name="Data Gaps" sheetId="6" state="visible" r:id="rId6"/>
    <sheet name="Scorecard" sheetId="7" state="visible" r:id="rId7"/>
  </sheets>
  <definedNames/>
  <calcPr calcId="124519" fullCalcOnLoad="1"/>
</workbook>
</file>

<file path=xl/styles.xml><?xml version="1.0" encoding="utf-8"?>
<styleSheet xmlns="http://schemas.openxmlformats.org/spreadsheetml/2006/main">
  <numFmts count="4">
    <numFmt numFmtId="164" formatCode="yyyy-mm-dd"/>
    <numFmt numFmtId="165" formatCode="dd-mmm-yyyy"/>
    <numFmt numFmtId="166" formatCode="0.0"/>
    <numFmt numFmtId="167" formatCode="0.00&quot;x&quot;"/>
  </numFmts>
  <fonts count="9">
    <font>
      <name val="Calibri"/>
      <family val="2"/>
      <color theme="1"/>
      <sz val="11"/>
      <scheme val="minor"/>
    </font>
    <font>
      <name val="Calibri"/>
      <b val="1"/>
      <color rgb="001F3864"/>
      <sz val="14"/>
    </font>
    <font>
      <name val="Calibri"/>
      <i val="1"/>
      <color rgb="00595959"/>
      <sz val="9"/>
    </font>
    <font>
      <name val="Calibri"/>
      <b val="1"/>
      <sz val="10"/>
    </font>
    <font>
      <b val="1"/>
      <color rgb="001F3864"/>
      <sz val="11"/>
    </font>
    <font>
      <name val="Calibri"/>
      <color rgb="00000000"/>
      <sz val="10"/>
    </font>
    <font>
      <name val="Calibri"/>
      <color rgb="000000FF"/>
      <sz val="10"/>
    </font>
    <font>
      <name val="Calibri"/>
      <b val="1"/>
      <color rgb="00FFFFFF"/>
      <sz val="10"/>
    </font>
    <font>
      <name val="Calibri"/>
      <color rgb="00008000"/>
      <sz val="10"/>
    </font>
  </fonts>
  <fills count="5">
    <fill>
      <patternFill/>
    </fill>
    <fill>
      <patternFill patternType="gray125"/>
    </fill>
    <fill>
      <patternFill patternType="solid">
        <fgColor rgb="00EAF1FB"/>
      </patternFill>
    </fill>
    <fill>
      <patternFill patternType="solid">
        <fgColor rgb="00FFFF00"/>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4" fillId="0" borderId="0" pivotButton="0" quotePrefix="0" xfId="0"/>
    <xf numFmtId="0" fontId="2" fillId="0" borderId="0" applyAlignment="1" pivotButton="0" quotePrefix="0" xfId="0">
      <alignment vertical="top" wrapText="1"/>
    </xf>
    <xf numFmtId="0" fontId="5" fillId="0" borderId="0" pivotButton="0" quotePrefix="0" xfId="0"/>
    <xf numFmtId="0" fontId="6" fillId="2" borderId="1" pivotButton="0" quotePrefix="0" xfId="0"/>
    <xf numFmtId="0" fontId="2" fillId="0" borderId="0" pivotButton="0" quotePrefix="0" xfId="0"/>
    <xf numFmtId="0" fontId="6" fillId="3" borderId="1" pivotButton="0" quotePrefix="0" xfId="0"/>
    <xf numFmtId="165" fontId="6" fillId="2" borderId="1" pivotButton="0" quotePrefix="0" xfId="0"/>
    <xf numFmtId="165" fontId="5" fillId="0" borderId="1" pivotButton="0" quotePrefix="0" xfId="0"/>
    <xf numFmtId="3" fontId="5" fillId="0" borderId="1" pivotButton="0" quotePrefix="0" xfId="0"/>
    <xf numFmtId="0" fontId="5" fillId="0" borderId="1" pivotButton="0" quotePrefix="0" xfId="0"/>
    <xf numFmtId="0" fontId="2" fillId="0" borderId="0" applyAlignment="1" pivotButton="0" quotePrefix="0" xfId="0">
      <alignment vertical="top"/>
    </xf>
    <xf numFmtId="0" fontId="7" fillId="4" borderId="1" applyAlignment="1" pivotButton="0" quotePrefix="0" xfId="0">
      <alignment vertical="center" wrapText="1"/>
    </xf>
    <xf numFmtId="4" fontId="6" fillId="2" borderId="1" pivotButton="0" quotePrefix="0" xfId="0"/>
    <xf numFmtId="10" fontId="6" fillId="2" borderId="1" pivotButton="0" quotePrefix="0" xfId="0"/>
    <xf numFmtId="10" fontId="5" fillId="0" borderId="1" pivotButton="0" quotePrefix="0" xfId="0"/>
    <xf numFmtId="4" fontId="5" fillId="0" borderId="1" pivotButton="0" quotePrefix="0" xfId="0"/>
    <xf numFmtId="166" fontId="5" fillId="0" borderId="1" pivotButton="0" quotePrefix="0" xfId="0"/>
    <xf numFmtId="166" fontId="6" fillId="2" borderId="1" pivotButton="0" quotePrefix="0" xfId="0"/>
    <xf numFmtId="2" fontId="5" fillId="0" borderId="1" pivotButton="0" quotePrefix="0" xfId="0"/>
    <xf numFmtId="2" fontId="6" fillId="2" borderId="1" pivotButton="0" quotePrefix="0" xfId="0"/>
    <xf numFmtId="167" fontId="5" fillId="0" borderId="1" pivotButton="0" quotePrefix="0" xfId="0"/>
    <xf numFmtId="167" fontId="6" fillId="2" borderId="1" pivotButton="0" quotePrefix="0" xfId="0"/>
    <xf numFmtId="0" fontId="0" fillId="0" borderId="0" applyAlignment="1" pivotButton="0" quotePrefix="0" xfId="0">
      <alignment vertical="top" wrapText="1"/>
    </xf>
    <xf numFmtId="0" fontId="6" fillId="2" borderId="1" applyAlignment="1" pivotButton="0" quotePrefix="0" xfId="0">
      <alignment vertical="top" wrapText="1"/>
    </xf>
    <xf numFmtId="0" fontId="3" fillId="0" borderId="1" pivotButton="0" quotePrefix="0" xfId="0"/>
    <xf numFmtId="0" fontId="8" fillId="0" borderId="1" pivotButton="0" quotePrefix="0" xfId="0"/>
    <xf numFmtId="0" fontId="5" fillId="3"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_rels/drawing5.xml.rels><Relationships xmlns="http://schemas.openxmlformats.org/package/2006/relationships"><Relationship Type="http://schemas.openxmlformats.org/officeDocument/2006/relationships/image" Target="/xl/media/image5.png" Id="rId1" /></Relationships>
</file>

<file path=xl/drawings/_rels/drawing6.xml.rels><Relationships xmlns="http://schemas.openxmlformats.org/package/2006/relationships"><Relationship Type="http://schemas.openxmlformats.org/officeDocument/2006/relationships/image" Target="/xl/media/image6.png" Id="rId1" /></Relationships>
</file>

<file path=xl/drawings/_rels/drawing7.xml.rels><Relationships xmlns="http://schemas.openxmlformats.org/package/2006/relationships"><Relationship Type="http://schemas.openxmlformats.org/officeDocument/2006/relationships/image" Target="/xl/media/image7.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outlinePr summaryBelow="1" summaryRight="1"/>
    <pageSetUpPr/>
  </sheetPr>
  <dimension ref="A1:A25"/>
  <sheetViews>
    <sheetView showGridLines="0" workbookViewId="0">
      <selection activeCell="A1" sqref="A1"/>
    </sheetView>
  </sheetViews>
  <sheetFormatPr baseColWidth="8" defaultRowHeight="15"/>
  <cols>
    <col width="110" customWidth="1" min="1" max="1"/>
  </cols>
  <sheetData>
    <row r="1" ht="24" customHeight="1">
      <c r="A1" s="1" t="inlineStr">
        <is>
          <t>DRHP / RHP Screening Checklist</t>
        </is>
      </c>
    </row>
    <row r="2" ht="20" customHeight="1">
      <c r="A2" s="2" t="inlineStr">
        <is>
          <t>Parshwanath Capital Ventures Fund | SEBI Registered CAT III AIF | IN/AIF3/25-26/2108 | Fund Manager: CA Deep Dalal | Sponsor: Jignesh Shah</t>
        </is>
      </c>
    </row>
    <row r="4">
      <c r="A4" t="inlineStr">
        <is>
          <t>A DRHP is a screen; an RHP is a decision. Record the stage on 'Basis' first.</t>
        </is>
      </c>
    </row>
    <row r="5">
      <c r="A5" t="inlineStr">
        <is>
          <t>Order: Basis &gt; Quick Metrics (auto-flags) &gt; Forensic Checks &gt; Work Blocks &gt; Data Gaps &gt; Scorecard.</t>
        </is>
      </c>
    </row>
    <row r="6">
      <c r="A6" t="inlineStr">
        <is>
          <t>Two rules: never invent a figure (leave blank, log it in Data Gaps); never draft disclaimer text.</t>
        </is>
      </c>
    </row>
    <row r="7">
      <c r="A7" t="inlineStr">
        <is>
          <t>Every figure as restated, cited to the printed page. Watch for three page-numbering blocks.</t>
        </is>
      </c>
    </row>
    <row r="8">
      <c r="A8" t="inlineStr">
        <is>
          <t>If the restated-financials annexure is image-only, OCR to locate but read the image to cite.</t>
        </is>
      </c>
    </row>
    <row r="9">
      <c r="A9" t="inlineStr">
        <is>
          <t>Thresholds in grey cells on 'Quick Metrics' are house defaults and editable.</t>
        </is>
      </c>
    </row>
    <row r="10">
      <c r="A10" t="inlineStr"/>
    </row>
    <row r="11">
      <c r="A11" t="inlineStr">
        <is>
          <t>Colours: blue = input | black = formula | yellow = key cell.</t>
        </is>
      </c>
    </row>
    <row r="12">
      <c r="A12" s="3" t="inlineStr">
        <is>
          <t>Issuer build: figures from the offer document (page cites in notes). BLANK cell = declared data gap.</t>
        </is>
      </c>
    </row>
    <row r="13">
      <c r="A13" t="inlineStr"/>
    </row>
    <row r="14">
      <c r="A14"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16">
      <c r="A16" s="4" t="inlineStr">
        <is>
          <t>Disclaimer and disclosures</t>
        </is>
      </c>
    </row>
    <row r="17" ht="45" customHeight="1">
      <c r="A17"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18" ht="60" customHeight="1">
      <c r="A18"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19" ht="45" customHeight="1">
      <c r="A19"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0" ht="75" customHeight="1">
      <c r="A20"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1" ht="45" customHeight="1">
      <c r="A21"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2" ht="45" customHeight="1">
      <c r="A22"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3" ht="15" customHeight="1">
      <c r="A23" s="5" t="inlineStr">
        <is>
          <t>Investments in securities market are subject to market risks. Read all the related documents carefully before investing.</t>
        </is>
      </c>
    </row>
    <row r="24" ht="15" customHeight="1">
      <c r="A24" s="5" t="inlineStr">
        <is>
          <t>Registration granted by SEBI in no way guarantees performance of the Fund or its Manager or provides any assurance of returns to investors.</t>
        </is>
      </c>
    </row>
    <row r="25" ht="15" customHeight="1">
      <c r="A25"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21"/>
  <sheetViews>
    <sheetView showGridLines="0" workbookViewId="0">
      <selection activeCell="A1" sqref="A1"/>
    </sheetView>
  </sheetViews>
  <sheetFormatPr baseColWidth="8" defaultRowHeight="15"/>
  <cols>
    <col width="2" customWidth="1" min="1" max="1"/>
    <col width="44" customWidth="1" min="2" max="2"/>
    <col width="44" customWidth="1" min="3" max="3"/>
    <col width="8" customWidth="1" min="4" max="4"/>
    <col width="50" customWidth="1" min="5" max="5"/>
  </cols>
  <sheetData>
    <row r="1" ht="24" customHeight="1">
      <c r="A1" s="1" t="inlineStr">
        <is>
          <t>Basis and staleness banner</t>
        </is>
      </c>
    </row>
    <row r="2" ht="20" customHeight="1">
      <c r="A2" s="2" t="inlineStr">
        <is>
          <t>Parshwanath Capital Ventures Fund | SEBI Registered CAT III AIF | IN/AIF3/25-26/2108 | Fund Manager: CA Deep Dalal | Sponsor: Jignesh Shah</t>
        </is>
      </c>
    </row>
    <row r="4">
      <c r="B4" s="4" t="inlineStr">
        <is>
          <t>Document</t>
        </is>
      </c>
    </row>
    <row r="5">
      <c r="B5" s="6" t="inlineStr">
        <is>
          <t>Issuer</t>
        </is>
      </c>
      <c r="C5" s="7" t="inlineStr">
        <is>
          <t>Sai Infinium Limited</t>
        </is>
      </c>
      <c r="D5" s="8" t="inlineStr"/>
    </row>
    <row r="6">
      <c r="B6" s="6" t="inlineStr">
        <is>
          <t>Platform</t>
        </is>
      </c>
      <c r="C6" s="7" t="inlineStr">
        <is>
          <t>Mainboard</t>
        </is>
      </c>
      <c r="D6" s="8" t="inlineStr"/>
    </row>
    <row r="7">
      <c r="B7" s="6" t="inlineStr">
        <is>
          <t>Stage</t>
        </is>
      </c>
      <c r="C7" s="9" t="inlineStr">
        <is>
          <t>DRHP</t>
        </is>
      </c>
      <c r="D7" s="8" t="inlineStr"/>
    </row>
    <row r="8">
      <c r="B8" s="6" t="inlineStr">
        <is>
          <t>Document date</t>
        </is>
      </c>
      <c r="C8" s="10" t="n">
        <v>46289</v>
      </c>
      <c r="D8" s="8" t="inlineStr"/>
    </row>
    <row r="9">
      <c r="B9" s="6" t="inlineStr">
        <is>
          <t>Audited financials up to</t>
        </is>
      </c>
      <c r="C9" s="10" t="n">
        <v>46112</v>
      </c>
      <c r="D9" s="8" t="inlineStr"/>
    </row>
    <row r="10">
      <c r="B10" s="6" t="inlineStr">
        <is>
          <t>Today</t>
        </is>
      </c>
      <c r="C10" s="11">
        <f>TODAY()</f>
        <v/>
      </c>
      <c r="D10" s="8" t="inlineStr"/>
    </row>
    <row r="11">
      <c r="B11" s="6" t="inlineStr">
        <is>
          <t>Staleness (days since audited period end)</t>
        </is>
      </c>
      <c r="C11" s="12">
        <f>'Basis'!$C$10-'Basis'!$C$9</f>
        <v/>
      </c>
      <c r="D11" s="8" t="inlineStr"/>
    </row>
    <row r="12">
      <c r="B12" s="6" t="inlineStr">
        <is>
          <t>Staleness flag</t>
        </is>
      </c>
      <c r="C12" s="13">
        <f>IF('Basis'!$C$11&gt;365,"RED: audited record over a year old - commit no capital until the RHP is read",IF('Basis'!$C$11&gt;180,"AMBER: RHP must carry financials no more than six months stale","OK"))</f>
        <v/>
      </c>
      <c r="D12" s="8" t="inlineStr"/>
    </row>
    <row r="13">
      <c r="B13" s="6" t="inlineStr">
        <is>
          <t>Price band announced?</t>
        </is>
      </c>
      <c r="C13" s="7" t="inlineStr">
        <is>
          <t>No</t>
        </is>
      </c>
      <c r="D13" s="8" t="inlineStr"/>
    </row>
    <row r="14">
      <c r="B14" s="6" t="inlineStr">
        <is>
          <t>Book running lead manager(s)</t>
        </is>
      </c>
      <c r="C14" s="7" t="inlineStr">
        <is>
          <t>Fedex Securities Private Limited; Neomile Capital Advisors Private Limited (marketing only)</t>
        </is>
      </c>
      <c r="D14" s="8" t="inlineStr"/>
      <c r="E14" s="14" t="inlineStr">
        <is>
          <t>Compile BRLM track record (CIR/MIRSD/1/2012)</t>
        </is>
      </c>
    </row>
    <row r="15">
      <c r="B15" s="6" t="inlineStr">
        <is>
          <t>Figures from outside the offer document</t>
        </is>
      </c>
      <c r="C15" s="7" t="inlineStr">
        <is>
          <t>merchant-banker section only (named secondary sources, unverified); issuer analysis is from the DRHP</t>
        </is>
      </c>
      <c r="D15" s="8" t="inlineStr"/>
    </row>
    <row r="17">
      <c r="B17" s="4" t="inlineStr">
        <is>
          <t>Trade being underwritten</t>
        </is>
      </c>
    </row>
    <row r="18">
      <c r="B18" s="6" t="inlineStr">
        <is>
          <t>Bid category</t>
        </is>
      </c>
      <c r="C18" s="7" t="inlineStr">
        <is>
          <t>Anchor</t>
        </is>
      </c>
      <c r="D18" s="8" t="inlineStr"/>
    </row>
    <row r="19">
      <c r="B19" s="6" t="inlineStr">
        <is>
          <t>Exit route underwritten</t>
        </is>
      </c>
      <c r="C19" s="9" t="inlineStr">
        <is>
          <t>2-3 year hold (assumed)</t>
        </is>
      </c>
      <c r="D19" s="8" t="inlineStr"/>
      <c r="E19" s="14" t="inlineStr">
        <is>
          <t>Ask per issuer; default is the 2-3 year hold</t>
        </is>
      </c>
    </row>
    <row r="20">
      <c r="B20" s="6" t="inlineStr">
        <is>
          <t>Bid category vs exit route</t>
        </is>
      </c>
      <c r="C20" s="13">
        <f>IF(AND('Basis'!$C$18="Anchor",'Basis'!$C$19="Listing day"),"INCONSISTENT: anchor allotment is locked in 30/90 days - cannot exit on listing day","OK")</f>
        <v/>
      </c>
      <c r="D20" s="8" t="inlineStr"/>
    </row>
    <row r="21">
      <c r="B21" s="6" t="inlineStr">
        <is>
          <t>Operative valuation tool</t>
        </is>
      </c>
      <c r="C21" s="13">
        <f>IF('Basis'!$C$19="Listing day","Listing-day framework (DCF used only as a floor test)","DCF governs (intrinsic value over the hold)")</f>
        <v/>
      </c>
      <c r="D21" s="8" t="inlineStr"/>
    </row>
  </sheetData>
  <conditionalFormatting sqref="C1:C40">
    <cfRule type="expression" priority="1" dxfId="0">
      <formula>LEFT(C1,3)="RED"</formula>
    </cfRule>
    <cfRule type="expression" priority="2" dxfId="0">
      <formula>LEFT(C1,4)="FAIL"</formula>
    </cfRule>
    <cfRule type="expression" priority="3" dxfId="0">
      <formula>LEFT(C1,12)="INCONSISTENT"</formula>
    </cfRule>
    <cfRule type="expression" priority="4" dxfId="0">
      <formula>LEFT(C1,10)="DEGENERATE"</formula>
    </cfRule>
    <cfRule type="expression" priority="5" dxfId="1">
      <formula>LEFT(C1,5)="AMBER"</formula>
    </cfRule>
    <cfRule type="expression" priority="6" dxfId="1">
      <formula>LEFT(C1,5)="WATCH"</formula>
    </cfRule>
    <cfRule type="expression" priority="7" dxfId="2">
      <formula>LEFT(C1,2)="OK"</formula>
    </cfRule>
    <cfRule type="expression" priority="8" dxfId="2">
      <formula>LEFT(C1,4)="PASS"</formula>
    </cfRule>
  </conditionalFormatting>
  <dataValidations count="5">
    <dataValidation sqref="C6" showDropDown="0" showInputMessage="0" showErrorMessage="0" allowBlank="1" type="list">
      <formula1>"Mainboard,SME"</formula1>
    </dataValidation>
    <dataValidation sqref="C7" showDropDown="0" showInputMessage="0" showErrorMessage="0" allowBlank="1" type="list">
      <formula1>"DRHP,RHP,Addendum,Prospectus"</formula1>
    </dataValidation>
    <dataValidation sqref="C13" showDropDown="0" showInputMessage="0" showErrorMessage="0" allowBlank="1" type="list">
      <formula1>"Yes,No"</formula1>
    </dataValidation>
    <dataValidation sqref="C18" showDropDown="0" showInputMessage="0" showErrorMessage="0" allowBlank="1" type="list">
      <formula1>"Anchor,QIB (non-anchor),NII"</formula1>
    </dataValidation>
    <dataValidation sqref="C19" showDropDown="0" showInputMessage="0" showErrorMessage="0" allowBlank="1" type="list">
      <formula1>"2-3 year hold (assumed),2-3 year hold (confirmed),Lock-in expiry (30/90 days),Listing day"</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55"/>
  <sheetViews>
    <sheetView showGridLines="0" workbookViewId="0">
      <selection activeCell="A1" sqref="A1"/>
    </sheetView>
  </sheetViews>
  <sheetFormatPr baseColWidth="8" defaultRowHeight="15"/>
  <cols>
    <col width="2" customWidth="1" min="1" max="1"/>
    <col width="50" customWidth="1" min="2" max="2"/>
    <col width="14" customWidth="1" min="3" max="3"/>
    <col width="14" customWidth="1" min="4" max="4"/>
    <col width="16" customWidth="1" min="5" max="5"/>
    <col width="22" customWidth="1" min="6" max="6"/>
    <col width="14" customWidth="1" min="7" max="7"/>
  </cols>
  <sheetData>
    <row r="1" ht="24" customHeight="1">
      <c r="A1" s="1" t="inlineStr">
        <is>
          <t>Quick forensic metrics (Rs cr) - restated, as reported; stub never annualised</t>
        </is>
      </c>
    </row>
    <row r="2" ht="20" customHeight="1">
      <c r="A2" s="2" t="inlineStr">
        <is>
          <t>Parshwanath Capital Ventures Fund | SEBI Registered CAT III AIF | IN/AIF3/25-26/2108 | Fund Manager: CA Deep Dalal | Sponsor: Jignesh Shah</t>
        </is>
      </c>
    </row>
    <row r="4">
      <c r="B4" s="15" t="inlineStr">
        <is>
          <t>Line item</t>
        </is>
      </c>
      <c r="C4" s="15" t="inlineStr">
        <is>
          <t>FY-3</t>
        </is>
      </c>
      <c r="D4" s="15" t="inlineStr">
        <is>
          <t>FY-2</t>
        </is>
      </c>
      <c r="E4" s="15" t="inlineStr">
        <is>
          <t>FY-1 (latest)</t>
        </is>
      </c>
      <c r="F4" s="15" t="inlineStr">
        <is>
          <t>Stub (as reported)</t>
        </is>
      </c>
      <c r="G4" s="15" t="inlineStr">
        <is>
          <t>Page cite</t>
        </is>
      </c>
    </row>
    <row r="5">
      <c r="B5" t="inlineStr">
        <is>
          <t>Revenue from operations</t>
        </is>
      </c>
      <c r="C5" s="16" t="n">
        <v>468.207</v>
      </c>
      <c r="D5" s="16" t="n">
        <v>528.674</v>
      </c>
      <c r="E5" s="16" t="n">
        <v>689.162</v>
      </c>
      <c r="F5" s="16" t="n"/>
      <c r="G5" s="7" t="inlineStr">
        <is>
          <t>p. 410 (Annexure II)</t>
        </is>
      </c>
    </row>
    <row r="6">
      <c r="B6" t="inlineStr">
        <is>
          <t>Other income</t>
        </is>
      </c>
      <c r="C6" s="16" t="n">
        <v>10.701</v>
      </c>
      <c r="D6" s="16" t="n">
        <v>21.25</v>
      </c>
      <c r="E6" s="16" t="n">
        <v>7.271</v>
      </c>
      <c r="F6" s="16" t="n"/>
      <c r="G6" s="7" t="inlineStr">
        <is>
          <t>p. 448 (Note 26)</t>
        </is>
      </c>
    </row>
    <row r="7">
      <c r="B7" t="inlineStr">
        <is>
          <t>Profit before tax</t>
        </is>
      </c>
      <c r="C7" s="16" t="n">
        <v>8.239000000000001</v>
      </c>
      <c r="D7" s="16" t="n">
        <v>58.778</v>
      </c>
      <c r="E7" s="16" t="n">
        <v>112.848</v>
      </c>
      <c r="F7" s="16" t="n"/>
      <c r="G7" s="7" t="inlineStr">
        <is>
          <t>p. 410</t>
        </is>
      </c>
    </row>
    <row r="8">
      <c r="B8" t="inlineStr">
        <is>
          <t>Current tax</t>
        </is>
      </c>
      <c r="C8" s="16" t="n">
        <v>3.062</v>
      </c>
      <c r="D8" s="16" t="n">
        <v>9.52</v>
      </c>
      <c r="E8" s="16" t="n">
        <v>26.265</v>
      </c>
      <c r="F8" s="16" t="n"/>
      <c r="G8" s="7" t="inlineStr">
        <is>
          <t>p. 410 (current tax plus previous-year tax: 30.62 / 95.20 / 262.65 Rs m)</t>
        </is>
      </c>
    </row>
    <row r="9">
      <c r="B9" t="inlineStr">
        <is>
          <t>Deferred tax</t>
        </is>
      </c>
      <c r="C9" s="16" t="n">
        <v>-0.961</v>
      </c>
      <c r="D9" s="16" t="n">
        <v>5.51</v>
      </c>
      <c r="E9" s="16" t="n">
        <v>4.204</v>
      </c>
      <c r="F9" s="16" t="n"/>
      <c r="G9" s="7" t="inlineStr">
        <is>
          <t>p. 410 (FY24 is a credit)</t>
        </is>
      </c>
    </row>
    <row r="10">
      <c r="B10" t="inlineStr">
        <is>
          <t>PAT</t>
        </is>
      </c>
      <c r="C10" s="16" t="n">
        <v>6.138</v>
      </c>
      <c r="D10" s="16" t="n">
        <v>43.748</v>
      </c>
      <c r="E10" s="16" t="n">
        <v>82.379</v>
      </c>
      <c r="F10" s="16" t="n"/>
      <c r="G10" s="7" t="inlineStr">
        <is>
          <t>p. 410</t>
        </is>
      </c>
    </row>
    <row r="11">
      <c r="B11" t="inlineStr">
        <is>
          <t>Cash flow from operations</t>
        </is>
      </c>
      <c r="C11" s="16" t="n">
        <v>-16.548</v>
      </c>
      <c r="D11" s="16" t="n">
        <v>-27.677</v>
      </c>
      <c r="E11" s="16" t="n">
        <v>82.52500000000001</v>
      </c>
      <c r="F11" s="16" t="n"/>
      <c r="G11" s="7" t="inlineStr">
        <is>
          <t>p. 411 (Annexure III)</t>
        </is>
      </c>
    </row>
    <row r="12">
      <c r="B12" t="inlineStr">
        <is>
          <t>Related-party sales</t>
        </is>
      </c>
      <c r="C12" s="16" t="n">
        <v>13.291</v>
      </c>
      <c r="D12" s="16" t="n">
        <v>312.598</v>
      </c>
      <c r="E12" s="16" t="n">
        <v>159.347</v>
      </c>
      <c r="F12" s="16" t="n"/>
      <c r="G12" s="7" t="inlineStr">
        <is>
          <t>p. 31 (sale of goods to related parties, Rs m 132.91 / 3,125.98 / 1,593.47)</t>
        </is>
      </c>
    </row>
    <row r="13">
      <c r="B13" t="inlineStr">
        <is>
          <t>Related-party purchases (incl. capex)</t>
        </is>
      </c>
      <c r="C13" s="16" t="n">
        <v>5.446</v>
      </c>
      <c r="D13" s="16" t="n">
        <v>205.91</v>
      </c>
      <c r="E13" s="16" t="n">
        <v>125.388</v>
      </c>
      <c r="F13" s="16" t="n"/>
      <c r="G13" s="7" t="inlineStr">
        <is>
          <t>p. 31 (purchases from related parties, Rs m 54.46 / 2,059.10 / 1,253.88; excludes fixed-asset purchases)</t>
        </is>
      </c>
    </row>
    <row r="14">
      <c r="B14" t="inlineStr">
        <is>
          <t>Net worth</t>
        </is>
      </c>
      <c r="C14" s="16" t="n">
        <v>126.85</v>
      </c>
      <c r="D14" s="16" t="n">
        <v>258.666</v>
      </c>
      <c r="E14" s="16" t="n">
        <v>392.31</v>
      </c>
      <c r="F14" s="16" t="n"/>
      <c r="G14" s="7" t="inlineStr">
        <is>
          <t>p. 409 (total equity; the DRHP's net worth adds back Rs 670.88 m, p. 506)</t>
        </is>
      </c>
    </row>
    <row r="15">
      <c r="B15" t="inlineStr">
        <is>
          <t>Trade receivables</t>
        </is>
      </c>
      <c r="C15" s="16" t="n">
        <v>43.635</v>
      </c>
      <c r="D15" s="16" t="n">
        <v>43.688</v>
      </c>
      <c r="E15" s="16" t="n">
        <v>23.258</v>
      </c>
      <c r="F15" s="16" t="n"/>
      <c r="G15" s="7" t="inlineStr">
        <is>
          <t>p. 441 (Note 10, net of allowance)</t>
        </is>
      </c>
    </row>
    <row r="16">
      <c r="B16" t="inlineStr">
        <is>
          <t>Inventory</t>
        </is>
      </c>
      <c r="C16" s="16" t="n">
        <v>107.894</v>
      </c>
      <c r="D16" s="16" t="n">
        <v>197.187</v>
      </c>
      <c r="E16" s="16" t="n">
        <v>78.94</v>
      </c>
      <c r="F16" s="16" t="n"/>
      <c r="G16" s="7" t="inlineStr">
        <is>
          <t>p. 440 (Note 8)</t>
        </is>
      </c>
    </row>
    <row r="17">
      <c r="B17" t="inlineStr">
        <is>
          <t>Trade payables</t>
        </is>
      </c>
      <c r="C17" s="16" t="n">
        <v>25.913</v>
      </c>
      <c r="D17" s="16" t="n">
        <v>123.301</v>
      </c>
      <c r="E17" s="16" t="n">
        <v>49.281</v>
      </c>
      <c r="F17" s="16" t="n"/>
      <c r="G17" s="7" t="inlineStr">
        <is>
          <t>p. 446 (Note 21)</t>
        </is>
      </c>
    </row>
    <row r="18">
      <c r="B18" t="inlineStr">
        <is>
          <t>Contingent liabilities</t>
        </is>
      </c>
      <c r="C18" s="16" t="n"/>
      <c r="D18" s="16" t="n"/>
      <c r="E18" s="16" t="n">
        <v>88.96899999999999</v>
      </c>
      <c r="F18" s="16" t="n"/>
      <c r="G18" s="7" t="inlineStr">
        <is>
          <t>p. 109 (claims 53.52 + bank guarantees 53.87 + corporate guarantees 782.30 Rs m; commitments of Rs 2,370.81 m are separate)</t>
        </is>
      </c>
    </row>
    <row r="19">
      <c r="B19" t="inlineStr">
        <is>
          <t>Goodwill + intangibles</t>
        </is>
      </c>
      <c r="C19" s="16" t="n">
        <v>67.08799999999999</v>
      </c>
      <c r="D19" s="16" t="n">
        <v>67.08799999999999</v>
      </c>
      <c r="E19" s="16" t="n">
        <v>67.08799999999999</v>
      </c>
      <c r="F19" s="16" t="n"/>
      <c r="G19" s="7" t="inlineStr">
        <is>
          <t>p. 485-486, 498 (debit balance of capital reserve on the 2024 merger, the economic equivalent of goodwill; no goodwill line)</t>
        </is>
      </c>
    </row>
    <row r="20">
      <c r="B20" t="inlineStr">
        <is>
          <t>Revaluation reserve</t>
        </is>
      </c>
      <c r="C20" s="16" t="n">
        <v>0</v>
      </c>
      <c r="D20" s="16" t="n">
        <v>0</v>
      </c>
      <c r="E20" s="16" t="n">
        <v>0</v>
      </c>
      <c r="F20" s="16" t="n"/>
      <c r="G20" s="7" t="inlineStr">
        <is>
          <t>p. 444 (no revaluation reserve)</t>
        </is>
      </c>
    </row>
    <row r="22">
      <c r="B22" s="3" t="inlineStr">
        <is>
          <t>Single-period inputs (latest)</t>
        </is>
      </c>
    </row>
    <row r="23">
      <c r="B23" t="inlineStr">
        <is>
          <t>Top customer % of revenue</t>
        </is>
      </c>
      <c r="E23" s="17" t="n">
        <v>0.1859</v>
      </c>
    </row>
    <row r="24">
      <c r="B24" t="inlineStr">
        <is>
          <t>Top-10 customers % of revenue</t>
        </is>
      </c>
      <c r="E24" s="17" t="n">
        <v>0.6383</v>
      </c>
    </row>
    <row r="25">
      <c r="B25" t="inlineStr">
        <is>
          <t>Top supplier % of purchases</t>
        </is>
      </c>
      <c r="E25" s="17" t="n">
        <v>0.1298</v>
      </c>
    </row>
    <row r="26">
      <c r="B26" t="inlineStr">
        <is>
          <t>Largest state/country % of revenue</t>
        </is>
      </c>
      <c r="E26" s="17" t="n">
        <v>0.9974</v>
      </c>
    </row>
    <row r="27">
      <c r="B27" t="inlineStr">
        <is>
          <t>Fresh issue net of expenses</t>
        </is>
      </c>
      <c r="E27" s="16" t="n"/>
    </row>
    <row r="28">
      <c r="B28" t="inlineStr">
        <is>
          <t>Promoter weighted avg cost of acquisition (Rs)</t>
        </is>
      </c>
      <c r="E28" s="16" t="n"/>
    </row>
    <row r="29">
      <c r="B29" t="inlineStr">
        <is>
          <t>Offer price / cap (Rs)</t>
        </is>
      </c>
      <c r="E29" s="16" t="n">
        <v>90</v>
      </c>
    </row>
    <row r="31">
      <c r="B31" s="3" t="inlineStr">
        <is>
          <t>Auto metrics</t>
        </is>
      </c>
    </row>
    <row r="32">
      <c r="B32" s="15" t="inlineStr">
        <is>
          <t>Metric</t>
        </is>
      </c>
      <c r="C32" s="15" t="inlineStr">
        <is>
          <t>Value</t>
        </is>
      </c>
      <c r="D32" s="15" t="inlineStr">
        <is>
          <t>Threshold</t>
        </is>
      </c>
      <c r="E32" s="15" t="inlineStr">
        <is>
          <t>Flag</t>
        </is>
      </c>
      <c r="F32" s="15" t="inlineStr">
        <is>
          <t>Forensic check / block</t>
        </is>
      </c>
    </row>
    <row r="33">
      <c r="B33" t="inlineStr">
        <is>
          <t>Cumulative CFO / cumulative PAT (3 yrs)</t>
        </is>
      </c>
      <c r="C33" s="18">
        <f>IF(OR(ISBLANK($E$10),ISBLANK($E$11)),"",SUM($C$11:$E$11)/SUM($C$10:$E$10))</f>
        <v/>
      </c>
      <c r="D33" s="17" t="n">
        <v>0.7</v>
      </c>
      <c r="E33" s="13">
        <f>IF(NOT(ISNUMBER(C33)),"-",IF(C33&lt;D33,"WATCH","OK"))</f>
        <v/>
      </c>
      <c r="F33" t="inlineStr">
        <is>
          <t>Check 2 / Block 1</t>
        </is>
      </c>
    </row>
    <row r="34">
      <c r="B34" t="inlineStr">
        <is>
          <t>Cumulative cash tax rate (current tax / PBT)</t>
        </is>
      </c>
      <c r="C34" s="18">
        <f>IF(OR(ISBLANK($E$7),ISBLANK($E$8)),"",SUM($C$8:$E$8)/SUM($C$7:$E$7))</f>
        <v/>
      </c>
      <c r="D34" s="17" t="n">
        <v>0.15</v>
      </c>
      <c r="E34" s="13">
        <f>IF(NOT(ISNUMBER(C34)),"-",IF(C34&lt;D34,"WATCH","OK"))</f>
        <v/>
      </c>
      <c r="F34" t="inlineStr">
        <is>
          <t>Check 3</t>
        </is>
      </c>
    </row>
    <row r="35">
      <c r="B35" t="inlineStr">
        <is>
          <t>Deferred tax share of total tax (latest)</t>
        </is>
      </c>
      <c r="C35" s="18">
        <f>IF(OR(ISBLANK($E$8),ISBLANK($E$9)),"",$E$9/($E$8+$E$9))</f>
        <v/>
      </c>
      <c r="D35" s="17" t="n">
        <v>0.5</v>
      </c>
      <c r="E35" s="13">
        <f>IF(NOT(ISNUMBER(C35)),"-",IF(C35&gt;D35,"WATCH","OK"))</f>
        <v/>
      </c>
      <c r="F35" t="inlineStr">
        <is>
          <t>Check 3</t>
        </is>
      </c>
    </row>
    <row r="36">
      <c r="B36" t="inlineStr">
        <is>
          <t>Other income % of PBT (latest)</t>
        </is>
      </c>
      <c r="C36" s="18">
        <f>IF(OR(ISBLANK($E$6),ISBLANK($E$7)),"",$E$6/$E$7)</f>
        <v/>
      </c>
      <c r="D36" s="17" t="n">
        <v>0.15</v>
      </c>
      <c r="E36" s="13">
        <f>IF(NOT(ISNUMBER(C36)),"-",IF(C36&gt;D36,"WATCH","OK"))</f>
        <v/>
      </c>
      <c r="F36" t="inlineStr">
        <is>
          <t>Block 1</t>
        </is>
      </c>
    </row>
    <row r="37">
      <c r="B37" t="inlineStr">
        <is>
          <t>RPT sales % of revenue (latest)</t>
        </is>
      </c>
      <c r="C37" s="18">
        <f>IF(OR(ISBLANK($E$12),ISBLANK($E$5)),"",$E$12/$E$5)</f>
        <v/>
      </c>
      <c r="D37" s="17" t="n">
        <v>0.02</v>
      </c>
      <c r="E37" s="13">
        <f>IF(NOT(ISNUMBER(C37)),"-",IF(C37&gt;D37,"WATCH","OK"))</f>
        <v/>
      </c>
      <c r="F37" t="inlineStr">
        <is>
          <t>Block 9 (2% flag)</t>
        </is>
      </c>
    </row>
    <row r="38">
      <c r="B38" t="inlineStr">
        <is>
          <t>RPT purchases % of net worth (latest)</t>
        </is>
      </c>
      <c r="C38" s="18">
        <f>IF(OR(ISBLANK($E$13),ISBLANK($E$14)),"",$E$13/$E$14)</f>
        <v/>
      </c>
      <c r="D38" s="17" t="n">
        <v>0.02</v>
      </c>
      <c r="E38" s="13">
        <f>IF(NOT(ISNUMBER(C38)),"-",IF(C38&gt;D38,"WATCH","OK"))</f>
        <v/>
      </c>
      <c r="F38" t="inlineStr">
        <is>
          <t>Check 4 / Block 9</t>
        </is>
      </c>
    </row>
    <row r="39">
      <c r="B39" t="inlineStr">
        <is>
          <t>RPT share of revenue growth (FY-2 to latest)</t>
        </is>
      </c>
      <c r="C39" s="18">
        <f>IF(OR(ISBLANK($E$12),ISBLANK($E$5)),"",IFERROR(($E$12-$D$12)/($E$5-$D$5),""))</f>
        <v/>
      </c>
      <c r="D39" s="17" t="n">
        <v>0.1</v>
      </c>
      <c r="E39" s="13">
        <f>IF(NOT(ISNUMBER(C39)),"-",IF(C39&gt;D39,"WATCH","OK"))</f>
        <v/>
      </c>
      <c r="F39" t="inlineStr">
        <is>
          <t>Block 4</t>
        </is>
      </c>
    </row>
    <row r="40">
      <c r="B40" t="inlineStr">
        <is>
          <t>Top customer concentration</t>
        </is>
      </c>
      <c r="C40" s="18">
        <f>IF(OR(ISBLANK($E$23)),"",$E$23)</f>
        <v/>
      </c>
      <c r="D40" s="17" t="n">
        <v>0.5</v>
      </c>
      <c r="E40" s="13">
        <f>IF(NOT(ISNUMBER(C40)),"-",IF(C40&gt;D40,"WATCH","OK"))</f>
        <v/>
      </c>
      <c r="F40" t="inlineStr">
        <is>
          <t>Check 8</t>
        </is>
      </c>
    </row>
    <row r="41">
      <c r="B41" t="inlineStr">
        <is>
          <t>Top-10 customer concentration</t>
        </is>
      </c>
      <c r="C41" s="18">
        <f>IF(OR(ISBLANK($E$24)),"",$E$24)</f>
        <v/>
      </c>
      <c r="D41" s="17" t="n">
        <v>0.8</v>
      </c>
      <c r="E41" s="13">
        <f>IF(NOT(ISNUMBER(C41)),"-",IF(C41&gt;D41,"WATCH","OK"))</f>
        <v/>
      </c>
      <c r="F41" t="inlineStr">
        <is>
          <t>Check 8</t>
        </is>
      </c>
    </row>
    <row r="42">
      <c r="B42" t="inlineStr">
        <is>
          <t>Top supplier concentration</t>
        </is>
      </c>
      <c r="C42" s="18">
        <f>IF(OR(ISBLANK($E$25)),"",$E$25)</f>
        <v/>
      </c>
      <c r="D42" s="17" t="n">
        <v>0.5</v>
      </c>
      <c r="E42" s="13">
        <f>IF(NOT(ISNUMBER(C42)),"-",IF(C42&gt;D42,"WATCH","OK"))</f>
        <v/>
      </c>
      <c r="F42" t="inlineStr">
        <is>
          <t>Check 8 (supply side)</t>
        </is>
      </c>
    </row>
    <row r="43">
      <c r="B43" t="inlineStr">
        <is>
          <t>Geographic concentration</t>
        </is>
      </c>
      <c r="C43" s="18">
        <f>IF(OR(ISBLANK($E$26)),"",$E$26)</f>
        <v/>
      </c>
      <c r="D43" s="17" t="n">
        <v>0.8</v>
      </c>
      <c r="E43" s="13">
        <f>IF(NOT(ISNUMBER(C43)),"-",IF(C43&gt;D43,"WATCH","OK"))</f>
        <v/>
      </c>
      <c r="F43" t="inlineStr">
        <is>
          <t>Check 8</t>
        </is>
      </c>
    </row>
    <row r="44">
      <c r="B44" t="inlineStr">
        <is>
          <t>Contingent liabilities / net worth</t>
        </is>
      </c>
      <c r="C44" s="18">
        <f>IF(OR(ISBLANK($E$14),ISBLANK($E$18)),"",$E$18/$E$14)</f>
        <v/>
      </c>
      <c r="D44" s="17" t="n">
        <v>0.25</v>
      </c>
      <c r="E44" s="13">
        <f>IF(NOT(ISNUMBER(C44)),"-",IF(C44&gt;D44,"WATCH","OK"))</f>
        <v/>
      </c>
      <c r="F44" t="inlineStr">
        <is>
          <t>Check 9</t>
        </is>
      </c>
    </row>
    <row r="45">
      <c r="B45" t="inlineStr">
        <is>
          <t>Goodwill + intangibles / net worth</t>
        </is>
      </c>
      <c r="C45" s="18">
        <f>IF(OR(ISBLANK($E$14),ISBLANK($E$19)),"",$E$19/$E$14)</f>
        <v/>
      </c>
      <c r="D45" s="17" t="n">
        <v>0.3</v>
      </c>
      <c r="E45" s="13">
        <f>IF(NOT(ISNUMBER(C45)),"-",IF(C45&gt;D45,"WATCH","OK"))</f>
        <v/>
      </c>
      <c r="F45" t="inlineStr">
        <is>
          <t>Check 7</t>
        </is>
      </c>
    </row>
    <row r="46">
      <c r="B46" t="inlineStr">
        <is>
          <t>Revaluation reserve (any non-zero fails)</t>
        </is>
      </c>
      <c r="C46" s="19">
        <f>IF(OR(ISBLANK($E$20)),"",$E$20)</f>
        <v/>
      </c>
      <c r="D46" s="16" t="n">
        <v>0</v>
      </c>
      <c r="E46" s="13">
        <f>IF(NOT(ISNUMBER(C46)),"-",IF(C46&gt;D46,"WATCH","OK"))</f>
        <v/>
      </c>
      <c r="F46" t="inlineStr">
        <is>
          <t>Check 6</t>
        </is>
      </c>
    </row>
    <row r="47">
      <c r="B47" t="inlineStr">
        <is>
          <t>Receivable days (closing, latest)</t>
        </is>
      </c>
      <c r="C47" s="20">
        <f>IF(OR(ISBLANK($E$15),ISBLANK($E$5)),"",$E$15/$E$5*365)</f>
        <v/>
      </c>
      <c r="D47" s="21" t="n">
        <v>90</v>
      </c>
      <c r="E47" s="13">
        <f>IF(NOT(ISNUMBER(C47)),"-",IF(C47&gt;D47,"WATCH","OK"))</f>
        <v/>
      </c>
      <c r="F47" t="inlineStr">
        <is>
          <t>Block 3</t>
        </is>
      </c>
    </row>
    <row r="48">
      <c r="B48" t="inlineStr">
        <is>
          <t>Inventory days (closing, on revenue)</t>
        </is>
      </c>
      <c r="C48" s="20">
        <f>IF(OR(ISBLANK($E$16),ISBLANK($E$5)),"",$E$16/$E$5*365)</f>
        <v/>
      </c>
      <c r="D48" s="21" t="n">
        <v>90</v>
      </c>
      <c r="E48" s="13">
        <f>IF(NOT(ISNUMBER(C48)),"-",IF(C48&gt;D48,"WATCH","OK"))</f>
        <v/>
      </c>
      <c r="F48" t="inlineStr">
        <is>
          <t>Block 3</t>
        </is>
      </c>
    </row>
    <row r="49">
      <c r="B49" t="inlineStr">
        <is>
          <t>Trade NWC % of revenue (latest)</t>
        </is>
      </c>
      <c r="C49" s="18">
        <f>IF(OR(ISBLANK($E$15),ISBLANK($E$16),ISBLANK($E$17),ISBLANK($E$5)),"",($E$15+$E$16-$E$17)/$E$5)</f>
        <v/>
      </c>
      <c r="D49" s="17" t="n">
        <v>0.25</v>
      </c>
      <c r="E49" s="13">
        <f>IF(NOT(ISNUMBER(C49)),"-",IF(C49&gt;D49,"WATCH","OK"))</f>
        <v/>
      </c>
      <c r="F49" t="inlineStr">
        <is>
          <t>Block 2</t>
        </is>
      </c>
    </row>
    <row r="50">
      <c r="B50" t="inlineStr">
        <is>
          <t>Incremental trade NWC per Rs of incremental revenue</t>
        </is>
      </c>
      <c r="C50" s="22">
        <f>IF(OR(ISBLANK($E$15),ISBLANK($E$16),ISBLANK($E$17),ISBLANK($E$5)),"",(($E$15+$E$16-$E$17)-($D$15+$D$16-$D$17))/($E$5-$D$5))</f>
        <v/>
      </c>
      <c r="D50" s="23" t="n">
        <v>0.3</v>
      </c>
      <c r="E50" s="13">
        <f>IF(NOT(ISNUMBER(C50)),"-",IF(C50&gt;D50,"WATCH","OK"))</f>
        <v/>
      </c>
      <c r="F50" t="inlineStr">
        <is>
          <t>Block 2</t>
        </is>
      </c>
    </row>
    <row r="51">
      <c r="B51" t="inlineStr">
        <is>
          <t>ROE pre-issue (latest)</t>
        </is>
      </c>
      <c r="C51" s="18">
        <f>IF(OR(ISBLANK($E$10),ISBLANK($E$14)),"",$E$10/$E$14)</f>
        <v/>
      </c>
      <c r="E51" s="13" t="inlineStr">
        <is>
          <t>info</t>
        </is>
      </c>
      <c r="F51" t="inlineStr">
        <is>
          <t>Block 8</t>
        </is>
      </c>
    </row>
    <row r="52">
      <c r="B52" t="inlineStr">
        <is>
          <t>ROE post-issue (same PAT)</t>
        </is>
      </c>
      <c r="C52" s="18">
        <f>IF(OR(ISBLANK($E$10),ISBLANK($E$14),ISBLANK($E$27)),"",$E$10/($E$14+$E$27))</f>
        <v/>
      </c>
      <c r="E52" s="13" t="inlineStr">
        <is>
          <t>info</t>
        </is>
      </c>
      <c r="F52" t="inlineStr">
        <is>
          <t>Block 8</t>
        </is>
      </c>
    </row>
    <row r="53">
      <c r="B53" t="inlineStr">
        <is>
          <t>Offer price / promoter WACA</t>
        </is>
      </c>
      <c r="C53" s="24">
        <f>IF(OR(ISBLANK($E$28),ISBLANK($E$29)),"",$E$29/$E$28)</f>
        <v/>
      </c>
      <c r="D53" s="25" t="n">
        <v>10</v>
      </c>
      <c r="E53" s="13">
        <f>IF(NOT(ISNUMBER(C53)),"-",IF(C53&gt;D53,"WATCH","OK"))</f>
        <v/>
      </c>
      <c r="F53" t="inlineStr">
        <is>
          <t>Block 8 / 11</t>
        </is>
      </c>
    </row>
    <row r="55">
      <c r="B55" s="14" t="inlineStr">
        <is>
          <t>CFO falling while PAT rises is the signal. Cumulative cash tax at the statutory rate is the strongest positive fact available - say it as plainly as the negatives.</t>
        </is>
      </c>
    </row>
  </sheetData>
  <conditionalFormatting sqref="E33:E54">
    <cfRule type="expression" priority="1" dxfId="0">
      <formula>LEFT(E33,3)="RED"</formula>
    </cfRule>
    <cfRule type="expression" priority="2" dxfId="0">
      <formula>LEFT(E33,4)="FAIL"</formula>
    </cfRule>
    <cfRule type="expression" priority="3" dxfId="0">
      <formula>LEFT(E33,12)="INCONSISTENT"</formula>
    </cfRule>
    <cfRule type="expression" priority="4" dxfId="0">
      <formula>LEFT(E33,10)="DEGENERATE"</formula>
    </cfRule>
    <cfRule type="expression" priority="5" dxfId="1">
      <formula>LEFT(E33,5)="AMBER"</formula>
    </cfRule>
    <cfRule type="expression" priority="6" dxfId="1">
      <formula>LEFT(E33,5)="WATCH"</formula>
    </cfRule>
    <cfRule type="expression" priority="7" dxfId="2">
      <formula>LEFT(E33,2)="OK"</formula>
    </cfRule>
    <cfRule type="expression" priority="8" dxfId="2">
      <formula>LEFT(E33,4)="PASS"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5" customWidth="1" min="1" max="1"/>
    <col width="34" customWidth="1" min="2" max="2"/>
    <col width="60" customWidth="1" min="3" max="3"/>
    <col width="34" customWidth="1" min="4" max="4"/>
    <col width="10" customWidth="1" min="5" max="5"/>
    <col width="12" customWidth="1" min="6" max="6"/>
    <col width="50" customWidth="1" min="7" max="7"/>
  </cols>
  <sheetData>
    <row r="1" ht="24" customHeight="1">
      <c r="A1" s="1" t="inlineStr">
        <is>
          <t>Ten forensic checks + regulatory checks</t>
        </is>
      </c>
    </row>
    <row r="2" ht="20" customHeight="1">
      <c r="A2" s="2" t="inlineStr">
        <is>
          <t>Parshwanath Capital Ventures Fund | SEBI Registered CAT III AIF | IN/AIF3/25-26/2108 | Fund Manager: CA Deep Dalal | Sponsor: Jignesh Shah</t>
        </is>
      </c>
    </row>
    <row r="4">
      <c r="A4" s="15" t="inlineStr">
        <is>
          <t>#</t>
        </is>
      </c>
      <c r="B4" s="15" t="inlineStr">
        <is>
          <t>Check</t>
        </is>
      </c>
      <c r="C4" s="15" t="inlineStr">
        <is>
          <t>What to test</t>
        </is>
      </c>
      <c r="D4" s="15" t="inlineStr">
        <is>
          <t>Where in the document</t>
        </is>
      </c>
      <c r="E4" s="15" t="inlineStr">
        <is>
          <t>Status</t>
        </is>
      </c>
      <c r="F4" s="15" t="inlineStr">
        <is>
          <t>Page cite</t>
        </is>
      </c>
      <c r="G4" s="15" t="inlineStr">
        <is>
          <t>Finding</t>
        </is>
      </c>
    </row>
    <row r="5" ht="42" customHeight="1">
      <c r="A5" s="26" t="inlineStr">
        <is>
          <t>1</t>
        </is>
      </c>
      <c r="B5" s="26" t="inlineStr">
        <is>
          <t>Bonus issue before filing</t>
        </is>
      </c>
      <c r="C5" s="26" t="inlineStr">
        <is>
          <t>Basis for Issue Price on pre-bonus count? EPS/NAV restated for all periods (Ind AS 33)? Consistent share count in every chapter?</t>
        </is>
      </c>
      <c r="D5" s="26" t="inlineStr">
        <is>
          <t>Capital Structure; Basis for Offer Price; Financials</t>
        </is>
      </c>
      <c r="E5" s="7" t="inlineStr">
        <is>
          <t>WATCH</t>
        </is>
      </c>
      <c r="F5" s="7" t="inlineStr">
        <is>
          <t>pp. 106, 177, 410, 506</t>
        </is>
      </c>
      <c r="G5" s="27" t="inlineStr">
        <is>
          <t>No bonus issue. The 5-for-1 split (Rs 10 to Rs 2, approved 29-Nov-2025) is applied to all years: EPS Rs 2.80 / 1.59 / 0.43 on 298,327,183 shares at year end. The summary P&amp;L on p. 106 prints the FY26 and FY25 EPS columns the wrong way round (1.59 for FY26, 2.80 for FY25); pp. 177 and 410 carry the correct order and PAT / shares reproduces 2.80 for FY26. A document error, corrected elsewhere in the same document.</t>
        </is>
      </c>
    </row>
    <row r="6" ht="42" customHeight="1">
      <c r="A6" s="26" t="inlineStr">
        <is>
          <t>2</t>
        </is>
      </c>
      <c r="B6" s="26" t="inlineStr">
        <is>
          <t>Cash flow statement and CFO vs PAT</t>
        </is>
      </c>
      <c r="C6" s="26" t="inlineStr">
        <is>
          <t>Statement present? Cumulative CFO / PAT, standalone and consolidated (see Quick Metrics).</t>
        </is>
      </c>
      <c r="D6" s="26" t="inlineStr">
        <is>
          <t>Restated cash flow statement</t>
        </is>
      </c>
      <c r="E6" s="7" t="inlineStr">
        <is>
          <t>WATCH</t>
        </is>
      </c>
      <c r="F6" s="7" t="inlineStr">
        <is>
          <t>pp. 107-108, 411</t>
        </is>
      </c>
      <c r="G6" s="27" t="inlineStr">
        <is>
          <t>Operating cash flow Rs -165.48 / -276.77 / +825.25 m against PAT 61.38 / 437.48 / 823.79 m; cumulative CFO/PAT 29.0% (383.00 / 1,322.65). Two classification facts cut both ways: (i) the working-capital block includes a Rs 1,189.76 m rise in other non-current assets, mainly capital-goods advances of Rs 1,294.25 m (Note 7, p. 440), so on an investing-activity basis FY26 CFO would be about Rs 2,015 m; (ii) FY26 CFO also includes a Rs 1,182.47 m inventory release, a Rs 740.20 m fall in payables and no cash tax outflow (tax line is a Rs 19.46 m inflow), with Rs 249.29 m of current tax payable at year end. Business reason is documented; read together the FY26 cash figure is not a clean run-rate in either direction.</t>
        </is>
      </c>
    </row>
    <row r="7" ht="42" customHeight="1">
      <c r="A7" s="26" t="inlineStr">
        <is>
          <t>3</t>
        </is>
      </c>
      <c r="B7" s="26" t="inlineStr">
        <is>
          <t>Current vs deferred tax</t>
        </is>
      </c>
      <c r="C7" s="26" t="inlineStr">
        <is>
          <t>Near-nil current tax? Cumulative cash tax rate vs statutory.</t>
        </is>
      </c>
      <c r="D7" s="26" t="inlineStr">
        <is>
          <t>Restated P&amp;L, tax note</t>
        </is>
      </c>
      <c r="E7" s="7" t="inlineStr">
        <is>
          <t>WATCH</t>
        </is>
      </c>
      <c r="F7" s="7" t="inlineStr">
        <is>
          <t>pp. 447, 411</t>
        </is>
      </c>
      <c r="G7" s="27" t="inlineStr">
        <is>
          <t>Total tax charge 26.5% of cumulative PBT (476.00 / 1,798.65 Rs m) and 18% of it deferred (87.53 Rs m); effective rate 27.0% in FY26. Tax actually paid was Rs 148.65 m in FY25 and Rs 2.27 m in FY24, with a Rs 19.46 m net inflow in FY26 (cumulative Rs 131.46 m, 7.3% of PBT); Rs 249.29 m was payable at 31-Mar-2026 and Rs 21.81 m of interest was provided for short payment of advance tax in FY26 (Note 22, p. 447).</t>
        </is>
      </c>
    </row>
    <row r="8" ht="42" customHeight="1">
      <c r="A8" s="26" t="inlineStr">
        <is>
          <t>4</t>
        </is>
      </c>
      <c r="B8" s="26" t="inlineStr">
        <is>
          <t>Related-party capex and proceeds into subsidiaries</t>
        </is>
      </c>
      <c r="C8" s="26" t="inlineStr">
        <is>
          <t>Capitalised RP purchases; instrument, rate, tenor, security of funds to subsidiaries; leakage to minorities.</t>
        </is>
      </c>
      <c r="D8" s="26" t="inlineStr">
        <is>
          <t>RPT note; Objects</t>
        </is>
      </c>
      <c r="E8" s="7" t="inlineStr">
        <is>
          <t>WATCH</t>
        </is>
      </c>
      <c r="F8" s="7" t="inlineStr">
        <is>
          <t>pp. 31-34, 110-112, 470-473</t>
        </is>
      </c>
      <c r="G8" s="27" t="inlineStr">
        <is>
          <t>Related-party sales Rs 1,593.47 m (23.1% of FY26 revenue; 59.1% in FY25) and purchases Rs 1,253.88 m (35.7% of purchases; 44.9% in FY25), plus fixed-asset purchases of Rs 537.68 m in FY26 (13.7% of cash capex) and Rs 282.90 m in FY25 (52.4%). Devansh Infinium Private Limited (a corporate promoter, 13.12% holder) is customer (Rs 1,086.91 m), supplier (Rs 456.48 m) and capex vendor (Rs 353.55 m). Payables to related parties Rs 414.42 m = 84% of trade payables (Note 21). The DRHP states all dealings are at arm's length with Audit Committee approval (p. 34) but gives no price benchmark. Proceeds go to the company's own melting shop, not to a related party.</t>
        </is>
      </c>
    </row>
    <row r="9" ht="42" customHeight="1">
      <c r="A9" s="26" t="inlineStr">
        <is>
          <t>5</t>
        </is>
      </c>
      <c r="B9" s="26" t="inlineStr">
        <is>
          <t>Objects arithmetic as price floor</t>
        </is>
      </c>
      <c r="C9" s="26" t="inlineStr">
        <is>
          <t>Objects / fixed fresh shares, grossed up for expenses and GCP. Floor above fair value?</t>
        </is>
      </c>
      <c r="D9" s="26" t="inlineStr">
        <is>
          <t>Objects of the Offer</t>
        </is>
      </c>
      <c r="E9" s="7" t="inlineStr">
        <is>
          <t>N.A.</t>
        </is>
      </c>
      <c r="F9" s="7" t="inlineStr">
        <is>
          <t>pp. 150-151</t>
        </is>
      </c>
      <c r="G9" s="27" t="inlineStr">
        <is>
          <t>Amount-based fresh issue (Rs 2,800 m) with no fixed share count, so no price floor can be set. The specific object is the melting shop at Rs 2,100 m of net proceeds (75.0% of gross) against a Rs 2,244.20 m project cost, the rest from internal accruals (Rs 30.00 m in FY27, Rs 114.20 m in FY28). General corporate purposes are capped at 25% of gross proceeds (Rs 700 m); offer expenses are [blank] in the DRHP.</t>
        </is>
      </c>
    </row>
    <row r="10" ht="42" customHeight="1">
      <c r="A10" s="26" t="inlineStr">
        <is>
          <t>6</t>
        </is>
      </c>
      <c r="B10" s="26" t="inlineStr">
        <is>
          <t>Revaluation reserves</t>
        </is>
      </c>
      <c r="C10" s="26" t="inlineStr">
        <is>
          <t>Any non-zero balance.</t>
        </is>
      </c>
      <c r="D10" s="26" t="inlineStr">
        <is>
          <t>Other equity note</t>
        </is>
      </c>
      <c r="E10" s="7" t="inlineStr">
        <is>
          <t>PASS</t>
        </is>
      </c>
      <c r="F10" s="7" t="inlineStr">
        <is>
          <t>p. 444</t>
        </is>
      </c>
      <c r="G10" s="27" t="inlineStr">
        <is>
          <t>No revaluation reserve; other equity is retained earnings Rs 2,150.76 m, securities premium Rs 1,846.57 m and a debit capital reserve of Rs 670.88 m.</t>
        </is>
      </c>
    </row>
    <row r="11" ht="42" customHeight="1">
      <c r="A11" s="26" t="inlineStr">
        <is>
          <t>7</t>
        </is>
      </c>
      <c r="B11" s="26" t="inlineStr">
        <is>
          <t>Goodwill vs tangible equity</t>
        </is>
      </c>
      <c r="C11" s="26" t="inlineStr">
        <is>
          <t>Goodwill share of equity; purchase accounting changed between documents?</t>
        </is>
      </c>
      <c r="D11" s="26" t="inlineStr">
        <is>
          <t>Restated balance sheet</t>
        </is>
      </c>
      <c r="E11" s="7" t="inlineStr">
        <is>
          <t>WATCH</t>
        </is>
      </c>
      <c r="F11" s="7" t="inlineStr">
        <is>
          <t>pp. 485-486, 498, 506</t>
        </is>
      </c>
      <c r="G11" s="27" t="inlineStr">
        <is>
          <t>No goodwill on the balance sheet, but the 2024 merger of two promoter-group companies (pooling of interests, effective 30-Mar-2024) left a Rs 670.88 m debit balance in capital reserve, 17.1% of book equity of Rs 3,923.10 m (Rs 237.85 m of it is goodwill derecognised on Ind AS transition, p. 498). The DRHP's net worth (Rs 4,593.98 m), NAV per share (Rs 15.40) and RoNW (17.93%) add the Rs 670.88 m back; on book equity NAV is Rs 13.15 and ROE 21.0%. Stated on both bases in this note.</t>
        </is>
      </c>
    </row>
    <row r="12" ht="42" customHeight="1">
      <c r="A12" s="26" t="inlineStr">
        <is>
          <t>8</t>
        </is>
      </c>
      <c r="B12" s="26" t="inlineStr">
        <is>
          <t>Concentration - demand AND supply side</t>
        </is>
      </c>
      <c r="C12" s="26" t="inlineStr">
        <is>
          <t>Customer, supplier, geography; &gt;80% flags; long-term supply agreement exists?</t>
        </is>
      </c>
      <c r="D12" s="26" t="inlineStr">
        <is>
          <t>Business; Risk Factors</t>
        </is>
      </c>
      <c r="E12" s="7" t="inlineStr">
        <is>
          <t>WATCH</t>
        </is>
      </c>
      <c r="F12" s="7" t="inlineStr">
        <is>
          <t>pp. 29-30, 37-39, 313-315</t>
        </is>
      </c>
      <c r="G12" s="27" t="inlineStr">
        <is>
          <t>Demand: top-10 customers 63.83% / 84.31% / 38.05% of revenue (FY26 / FY25 / FY24); top customer Metarex Global 18.59% (FY25: Devansh Infinium 54.27%). Five of the FY26 top ten (Metarex, Devansh, Falvi Infinium, Sai Endeavours, Axat Impex; Rs 3,375.74 m, 49.0% of revenue) are, or were during part of FY26, on the related-party list. Supply: top-10 suppliers 63.98% of purchases; five of them are related or former related parties. Gujarat is 99.74% of revenue. No long-term contracts with dealers, distributors or suppliers (pp. 29, 315). Reported once, in proportion, as concentration typical of a regional rebar maker plus a group-trading overlay.</t>
        </is>
      </c>
    </row>
    <row r="13" ht="42" customHeight="1">
      <c r="A13" s="26" t="inlineStr">
        <is>
          <t>9</t>
        </is>
      </c>
      <c r="B13" s="26" t="inlineStr">
        <is>
          <t>Contingent liabilities and materiality policy</t>
        </is>
      </c>
      <c r="C13" s="26" t="inlineStr">
        <is>
          <t>CL vs net worth; is the materiality threshold set to exclude real matters?</t>
        </is>
      </c>
      <c r="D13" s="26" t="inlineStr">
        <is>
          <t>Outstanding Litigation; CL note</t>
        </is>
      </c>
      <c r="E13" s="7" t="inlineStr">
        <is>
          <t>WATCH</t>
        </is>
      </c>
      <c r="F13" s="7" t="inlineStr">
        <is>
          <t>pp. 109, 48, 543</t>
        </is>
      </c>
      <c r="G13" s="27" t="inlineStr">
        <is>
          <t>Contingent liabilities Rs 889.69 m = 22.7% of book equity, of which Rs 782.30 m are corporate guarantees for borrowings of Devansh Infinium (Rs 450 m), Axat Impex LLP (Rs 332.30 m) and Sai Endeavours (Rs 200 m, p. 48); the three borrowers are also customers. Commitments for capital goods Rs 2,370.81 m (p. 440). The Income Tax Department noted in the NCLT order (7-Aug-2024) Rs 844.10 m of FY21 transactions of a merged company with EP Tradelink as unexplained and contemplated reassessment for AY 2021-22; no notice has been received (p. 543). Materiality threshold is the lower of 2% of turnover, 2% of net worth and 5% of average PAT (p. 541).</t>
        </is>
      </c>
    </row>
    <row r="14" ht="42" customHeight="1">
      <c r="A14" s="26" t="inlineStr">
        <is>
          <t>10</t>
        </is>
      </c>
      <c r="B14" s="26" t="inlineStr">
        <is>
          <t>Investor presentation vs filed document</t>
        </is>
      </c>
      <c r="C14" s="26" t="inlineStr">
        <is>
          <t>Base years, margin definitions, customers, capacity, awards absent from the DRHP; KPIs outside the KPI table.</t>
        </is>
      </c>
      <c r="D14" s="26" t="inlineStr">
        <is>
          <t>Investor deck vs DRHP</t>
        </is>
      </c>
      <c r="E14" s="7" t="inlineStr">
        <is>
          <t>N.A.</t>
        </is>
      </c>
      <c r="F14" s="7" t="inlineStr"/>
      <c r="G14" s="27" t="inlineStr">
        <is>
          <t>No investor presentation reviewed.</t>
        </is>
      </c>
    </row>
    <row r="15" ht="42" customHeight="1">
      <c r="A15" s="26" t="inlineStr">
        <is>
          <t>R1</t>
        </is>
      </c>
      <c r="B15" s="26" t="inlineStr">
        <is>
          <t>Auditor qualifications / emphasis of matter</t>
        </is>
      </c>
      <c r="C15" s="26" t="inlineStr">
        <is>
          <t>Any qualification, EoM, or CARO adverse remark.</t>
        </is>
      </c>
      <c r="D15" s="26" t="inlineStr">
        <is>
          <t>Auditor reports</t>
        </is>
      </c>
      <c r="E15" s="7" t="inlineStr">
        <is>
          <t>WATCH</t>
        </is>
      </c>
      <c r="F15" s="7" t="inlineStr">
        <is>
          <t>pp. 117-118, 405, 386</t>
        </is>
      </c>
      <c r="G15" s="27" t="inlineStr">
        <is>
          <t>Three statutory-audit changes in FY26: Parshva Shah &amp; Co and Deepak Goyal &amp; Co (joint auditors since 30-Sep-2024) both resigned on 20-Nov-2025 (stated reasons: pre-occupation and increasing commitments); Lahoti &amp; Lahoti were appointed on 24-Nov-2025 and resigned on 14-Mar-2026 before the audit started (pre-occupancy); ANR &amp; Associates were appointed on 16-Mar-2026 and audited FY26. FY25 and FY24 are special-purpose Ind AS statements converted from Indian GAAP accounts audited by Parshva Shah &amp; Co (unmodified, 5-Sep-2025 and 6-Sep-2024). Three CFOs in 9 months (Oct-2024 to Jun-2026). No qualification; reasons for resignation are not company-specific, which the RHP should address.</t>
        </is>
      </c>
    </row>
    <row r="16" ht="42" customHeight="1">
      <c r="A16" s="26" t="inlineStr">
        <is>
          <t>R2</t>
        </is>
      </c>
      <c r="B16" s="26" t="inlineStr">
        <is>
          <t>CARO 2020 / Rule 11(g) audit trail</t>
        </is>
      </c>
      <c r="C16" s="26" t="inlineStr">
        <is>
          <t>Audit-trail compliance reported?</t>
        </is>
      </c>
      <c r="D16" s="26" t="inlineStr">
        <is>
          <t>Auditor report annexure</t>
        </is>
      </c>
      <c r="E16" s="7" t="inlineStr">
        <is>
          <t>WATCH</t>
        </is>
      </c>
      <c r="F16" s="7" t="inlineStr">
        <is>
          <t>pp. 407, 499-502</t>
        </is>
      </c>
      <c r="G16" s="27" t="inlineStr">
        <is>
          <t>The examination report notes CARO 2020 remarks and 'certain instances' on the audit-trail (edit-log) feature for FY26, shown in Part B of Annexure VI (p. 407). The CARO list for FY26 shows quarterly returns filed with Bank of India that differ from the books: stock Rs 1,150.03 m vs Rs 938.11 m in Q1, Rs 789.40 m vs Rs 687.39 m in Q4 (differences Rs 66.43 m to Rs 211.92 m, explained as divisions excluded from the hypothecated stock) and book debts by Rs -80.63 m to +13.28 m (explained as provisional figures submitted before reconciling customer accounts) (p. 499). The FY25 CARO records a customs dispute on a Jan-2022 import of heavy melting scrap, one container still under seizure for used cartridges (p. 501). An earlier DRHP for 19.6 m Rs 10 shares was filed on 2-Apr-2025 and withdrawn before the FY25 audit report was signed (pp. 406, 499).</t>
        </is>
      </c>
    </row>
    <row r="17" ht="42" customHeight="1">
      <c r="A17" s="26" t="inlineStr">
        <is>
          <t>R3</t>
        </is>
      </c>
      <c r="B17" s="26" t="inlineStr">
        <is>
          <t>Monitoring agency (ICDR Reg 262(1))</t>
        </is>
      </c>
      <c r="C17" s="26" t="inlineStr">
        <is>
          <t>Appointed where required by issue size?</t>
        </is>
      </c>
      <c r="D17" s="26" t="inlineStr">
        <is>
          <t>Objects</t>
        </is>
      </c>
      <c r="E17" s="7" t="inlineStr">
        <is>
          <t>PASS</t>
        </is>
      </c>
      <c r="F17" s="7" t="inlineStr">
        <is>
          <t>p. 173</t>
        </is>
      </c>
      <c r="G17" s="27" t="inlineStr">
        <is>
          <t>Monitoring agency to be appointed (fresh issue above Rs 1,000 m). No debt-repayment object. The melting shop is on owned land (Rs 44.15 m, fully paid, p. 154).</t>
        </is>
      </c>
    </row>
    <row r="18" ht="42" customHeight="1">
      <c r="A18" s="26" t="inlineStr">
        <is>
          <t>R4</t>
        </is>
      </c>
      <c r="B18" s="26" t="inlineStr">
        <is>
          <t>Mainboard eligibility (Reg 6(1)/6(2))</t>
        </is>
      </c>
      <c r="C18" s="26" t="inlineStr">
        <is>
          <t>Re-perform the eligibility computation; compare to KPI basis.</t>
        </is>
      </c>
      <c r="D18" s="26" t="inlineStr">
        <is>
          <t>Other Regulatory and Statutory Disclosures</t>
        </is>
      </c>
      <c r="E18" s="7" t="inlineStr">
        <is>
          <t>PASS</t>
        </is>
      </c>
      <c r="F18" s="7" t="inlineStr">
        <is>
          <t>p. 571</t>
        </is>
      </c>
      <c r="G18" s="27" t="inlineStr">
        <is>
          <t>Reg 6(1) re-performed: operating profit 1,181.72 / 470.82 / 77.26 Rs m reproduces from PBT less other income plus finance cost (1,128.48 - 72.71 + 125.95 = 1,181.72); three-year average Rs 576.60 m against the Rs 150 m test and positive in each year; net worth above Rs 10 m; monetary assets 7.02% of NTA. The name was last changed on 22-Nov-2024, more than a year before filing. Restated NTA of Rs 3,838.83 m does not equal total equity of Rs 3,923.10 m (difference Rs 84.27 m, unexplained); the test passes on either figure.</t>
        </is>
      </c>
    </row>
    <row r="19" ht="42" customHeight="1">
      <c r="A19" s="26" t="inlineStr">
        <is>
          <t>R5</t>
        </is>
      </c>
      <c r="B19" s="26" t="inlineStr">
        <is>
          <t>SME (Chapter IX) - post-2025 conditions</t>
        </is>
      </c>
      <c r="C19" s="26" t="inlineStr">
        <is>
          <t>OFS cap, selling-holder cap, GCP cap, operating-profit test, no proceeds to repay promoter/RP loans. Confirm against current ICDR text.</t>
        </is>
      </c>
      <c r="D19" s="26" t="inlineStr">
        <is>
          <t>Offer structure; Objects</t>
        </is>
      </c>
      <c r="E19" s="7" t="inlineStr">
        <is>
          <t>WATCH</t>
        </is>
      </c>
      <c r="F19" s="7" t="inlineStr">
        <is>
          <t>pp. 1, 101</t>
        </is>
      </c>
      <c r="G19" s="27" t="inlineStr">
        <is>
          <t>OFS of 12,000,000 shares by Ishu Bansal, about 5.1% of her 235,354,800 shares (below half of her holding). If the 20% OFS ceiling applies, the OFS is within it only at a price of Rs 58.33 or less (12.0 m x P &lt;= 20% x (Rs 2,800 m + 12.0 m x P)); at the Rs 90 reference it would be Rs 1,080 m, 27.8% of a Rs 3,880 m offer. Her weighted average cost of acquisition is below Rs 0.01 and 19,460,000 shares reached her by gift on 6-Mar-2026 (p. 189). Re-test at the RHP price.</t>
        </is>
      </c>
    </row>
    <row r="20" ht="42" customHeight="1">
      <c r="A20" s="26" t="inlineStr">
        <is>
          <t>R6</t>
        </is>
      </c>
      <c r="B20" s="26" t="inlineStr">
        <is>
          <t>BRLM track record (CIR/MIRSD/1/2012)</t>
        </is>
      </c>
      <c r="C20" s="26" t="inlineStr">
        <is>
          <t>Compile from exchange data: issue price, listing gain, current price vs issue price.</t>
        </is>
      </c>
      <c r="D20" s="26" t="inlineStr">
        <is>
          <t>BRLM website / exchange data</t>
        </is>
      </c>
      <c r="E20" s="7" t="inlineStr">
        <is>
          <t>WATCH</t>
        </is>
      </c>
      <c r="F20" s="7" t="inlineStr">
        <is>
          <t>pp. 577-579</t>
        </is>
      </c>
      <c r="G20" s="27" t="inlineStr">
        <is>
          <t>Fedex Securities is the BRLM; Neomile Capital is a marketing-only BRLM and is handling its first public issue. Fedex lists 3 mainboard IPOs in the table: Mukka Proteins (+35.5% at day 30, +65.3% at day 180), Deepak Builders (-23.2%, -30.9%) and Patel Retail (-7.2%, -28.7%), plus 8 SME issues; its full track record is at a website link only (p. 579). Recorded in data/merchant_bankers.json.</t>
        </is>
      </c>
    </row>
    <row r="21" ht="42" customHeight="1">
      <c r="A21" s="26" t="inlineStr">
        <is>
          <t>R7</t>
        </is>
      </c>
      <c r="B21" s="26" t="inlineStr">
        <is>
          <t>Firm means of finance (Reg 230(1)(e))</t>
        </is>
      </c>
      <c r="C21" s="26" t="inlineStr">
        <is>
          <t>75% of stated means of finance tied up, excluding issue proceeds?</t>
        </is>
      </c>
      <c r="D21" s="26" t="inlineStr">
        <is>
          <t>Objects</t>
        </is>
      </c>
      <c r="E21" s="7" t="inlineStr">
        <is>
          <t>WATCH</t>
        </is>
      </c>
      <c r="F21" s="7" t="inlineStr">
        <is>
          <t>pp. 150-153, 299, 440, 464</t>
        </is>
      </c>
      <c r="G21" s="27" t="inlineStr">
        <is>
          <t>Project cost of the melting shop is Rs 2,244.20 m (cost report of 17-Aug-2026); quotations are valid for about 12 months from April to July 2026. This object sits beside a larger programme already under way: Rolling Mill 3 (Rs 1,719.51 m incurred, production by 31-Dec-2026), a captive wind-solar plant costing about Rs 4,043 m (Rs 1,747.82 m paid to Opera Energy, completion by 31-Oct-2026) and a Rs 500 m copper smelting plan. Borrowings were Rs 5,024.07 m at 30-Jun-2026 against Rs 3,575.72 m at 31-Mar-2026. The IREDA pledge over promoter shares is not yet created (Rs 5.11 m penalty paid, waived to an extended date, p. 50).</t>
        </is>
      </c>
    </row>
  </sheetData>
  <conditionalFormatting sqref="E5:E21">
    <cfRule type="expression" priority="1" dxfId="0">
      <formula>LEFT(E5,3)="RED"</formula>
    </cfRule>
    <cfRule type="expression" priority="2" dxfId="0">
      <formula>LEFT(E5,4)="FAIL"</formula>
    </cfRule>
    <cfRule type="expression" priority="3" dxfId="0">
      <formula>LEFT(E5,12)="INCONSISTENT"</formula>
    </cfRule>
    <cfRule type="expression" priority="4" dxfId="0">
      <formula>LEFT(E5,10)="DEGENERATE"</formula>
    </cfRule>
    <cfRule type="expression" priority="5" dxfId="1">
      <formula>LEFT(E5,5)="AMBER"</formula>
    </cfRule>
    <cfRule type="expression" priority="6" dxfId="1">
      <formula>LEFT(E5,5)="WATCH"</formula>
    </cfRule>
    <cfRule type="expression" priority="7" dxfId="2">
      <formula>LEFT(E5,2)="OK"</formula>
    </cfRule>
    <cfRule type="expression" priority="8" dxfId="2">
      <formula>LEFT(E5,4)="PASS"</formula>
    </cfRule>
  </conditionalFormatting>
  <dataValidations count="17">
    <dataValidation sqref="E5" showDropDown="0" showInputMessage="0" showErrorMessage="0" allowBlank="1" type="list">
      <formula1>"PASS,WATCH,FAIL,N.A.,OPEN"</formula1>
    </dataValidation>
    <dataValidation sqref="E6" showDropDown="0" showInputMessage="0" showErrorMessage="0" allowBlank="1" type="list">
      <formula1>"PASS,WATCH,FAIL,N.A.,OPEN"</formula1>
    </dataValidation>
    <dataValidation sqref="E7" showDropDown="0" showInputMessage="0" showErrorMessage="0" allowBlank="1" type="list">
      <formula1>"PASS,WATCH,FAIL,N.A.,OPEN"</formula1>
    </dataValidation>
    <dataValidation sqref="E8" showDropDown="0" showInputMessage="0" showErrorMessage="0" allowBlank="1" type="list">
      <formula1>"PASS,WATCH,FAIL,N.A.,OPEN"</formula1>
    </dataValidation>
    <dataValidation sqref="E9" showDropDown="0" showInputMessage="0" showErrorMessage="0" allowBlank="1" type="list">
      <formula1>"PASS,WATCH,FAIL,N.A.,OPEN"</formula1>
    </dataValidation>
    <dataValidation sqref="E10" showDropDown="0" showInputMessage="0" showErrorMessage="0" allowBlank="1" type="list">
      <formula1>"PASS,WATCH,FAIL,N.A.,OPEN"</formula1>
    </dataValidation>
    <dataValidation sqref="E11" showDropDown="0" showInputMessage="0" showErrorMessage="0" allowBlank="1" type="list">
      <formula1>"PASS,WATCH,FAIL,N.A.,OPEN"</formula1>
    </dataValidation>
    <dataValidation sqref="E12" showDropDown="0" showInputMessage="0" showErrorMessage="0" allowBlank="1" type="list">
      <formula1>"PASS,WATCH,FAIL,N.A.,OPEN"</formula1>
    </dataValidation>
    <dataValidation sqref="E13" showDropDown="0" showInputMessage="0" showErrorMessage="0" allowBlank="1" type="list">
      <formula1>"PASS,WATCH,FAIL,N.A.,OPEN"</formula1>
    </dataValidation>
    <dataValidation sqref="E14" showDropDown="0" showInputMessage="0" showErrorMessage="0" allowBlank="1" type="list">
      <formula1>"PASS,WATCH,FAIL,N.A.,OPEN"</formula1>
    </dataValidation>
    <dataValidation sqref="E15" showDropDown="0" showInputMessage="0" showErrorMessage="0" allowBlank="1" type="list">
      <formula1>"PASS,WATCH,FAIL,N.A.,OPEN"</formula1>
    </dataValidation>
    <dataValidation sqref="E16" showDropDown="0" showInputMessage="0" showErrorMessage="0" allowBlank="1" type="list">
      <formula1>"PASS,WATCH,FAIL,N.A.,OPEN"</formula1>
    </dataValidation>
    <dataValidation sqref="E17" showDropDown="0" showInputMessage="0" showErrorMessage="0" allowBlank="1" type="list">
      <formula1>"PASS,WATCH,FAIL,N.A.,OPEN"</formula1>
    </dataValidation>
    <dataValidation sqref="E18" showDropDown="0" showInputMessage="0" showErrorMessage="0" allowBlank="1" type="list">
      <formula1>"PASS,WATCH,FAIL,N.A.,OPEN"</formula1>
    </dataValidation>
    <dataValidation sqref="E19" showDropDown="0" showInputMessage="0" showErrorMessage="0" allowBlank="1" type="list">
      <formula1>"PASS,WATCH,FAIL,N.A.,OPEN"</formula1>
    </dataValidation>
    <dataValidation sqref="E20" showDropDown="0" showInputMessage="0" showErrorMessage="0" allowBlank="1" type="list">
      <formula1>"PASS,WATCH,FAIL,N.A.,OPEN"</formula1>
    </dataValidation>
    <dataValidation sqref="E21" showDropDown="0" showInputMessage="0" showErrorMessage="0" allowBlank="1" type="list">
      <formula1>"PASS,WATCH,FAIL,N.A.,OPEN"</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E44"/>
  <sheetViews>
    <sheetView showGridLines="0" workbookViewId="0">
      <selection activeCell="A1" sqref="A1"/>
    </sheetView>
  </sheetViews>
  <sheetFormatPr baseColWidth="8" defaultRowHeight="15"/>
  <cols>
    <col width="32" customWidth="1" min="1" max="1"/>
    <col width="62" customWidth="1" min="2" max="2"/>
    <col width="60" customWidth="1" min="3" max="3"/>
    <col width="12" customWidth="1" min="4" max="4"/>
    <col width="12" customWidth="1" min="5" max="5"/>
  </cols>
  <sheetData>
    <row r="1" ht="24" customHeight="1">
      <c r="A1" s="1" t="inlineStr">
        <is>
          <t>Twelve analyst work blocks - work all twelve, report what moves the conclusion</t>
        </is>
      </c>
    </row>
    <row r="2" ht="20" customHeight="1">
      <c r="A2" s="2" t="inlineStr">
        <is>
          <t>Parshwanath Capital Ventures Fund | SEBI Registered CAT III AIF | IN/AIF3/25-26/2108 | Fund Manager: CA Deep Dalal | Sponsor: Jignesh Shah</t>
        </is>
      </c>
    </row>
    <row r="4">
      <c r="A4" s="15" t="inlineStr">
        <is>
          <t>Block</t>
        </is>
      </c>
      <c r="B4" s="15" t="inlineStr">
        <is>
          <t>Question</t>
        </is>
      </c>
      <c r="C4" s="15" t="inlineStr">
        <is>
          <t>Finding</t>
        </is>
      </c>
      <c r="D4" s="15" t="inlineStr">
        <is>
          <t>Moves conclusion?</t>
        </is>
      </c>
      <c r="E4" s="15" t="inlineStr">
        <is>
          <t>Page cite</t>
        </is>
      </c>
    </row>
    <row r="5">
      <c r="A5" t="inlineStr">
        <is>
          <t>1 Earnings quality</t>
        </is>
      </c>
      <c r="B5" s="26" t="inlineStr">
        <is>
          <t>Cumulative CFO / PAT; CFO before and after working capital</t>
        </is>
      </c>
      <c r="C5" s="7" t="inlineStr"/>
      <c r="D5" s="7" t="inlineStr"/>
      <c r="E5" s="7" t="inlineStr"/>
    </row>
    <row r="6">
      <c r="A6" t="inlineStr">
        <is>
          <t>1 Earnings quality</t>
        </is>
      </c>
      <c r="B6" s="26" t="inlineStr">
        <is>
          <t>Non-recurring items in other income as % of PBT</t>
        </is>
      </c>
      <c r="C6" s="7" t="inlineStr"/>
      <c r="D6" s="7" t="inlineStr"/>
      <c r="E6" s="7" t="inlineStr"/>
    </row>
    <row r="7">
      <c r="A7" t="inlineStr">
        <is>
          <t>1 Earnings quality</t>
        </is>
      </c>
      <c r="B7" s="26" t="inlineStr">
        <is>
          <t>Is the stub period seasonally favourable for this industry?</t>
        </is>
      </c>
      <c r="C7" s="7" t="inlineStr"/>
      <c r="D7" s="7" t="inlineStr"/>
      <c r="E7" s="7" t="inlineStr"/>
    </row>
    <row r="8">
      <c r="A8" t="inlineStr">
        <is>
          <t>2 Working capital</t>
        </is>
      </c>
      <c r="B8" s="26" t="inlineStr">
        <is>
          <t>NWC % revenue each period</t>
        </is>
      </c>
      <c r="C8" s="7" t="inlineStr"/>
      <c r="D8" s="7" t="inlineStr"/>
      <c r="E8" s="7" t="inlineStr"/>
    </row>
    <row r="9">
      <c r="A9" t="inlineStr">
        <is>
          <t>2 Working capital</t>
        </is>
      </c>
      <c r="B9" s="26" t="inlineStr">
        <is>
          <t>Incremental NWC per Rs of incremental revenue</t>
        </is>
      </c>
      <c r="C9" s="7" t="inlineStr"/>
      <c r="D9" s="7" t="inlineStr"/>
      <c r="E9" s="7" t="inlineStr"/>
    </row>
    <row r="10">
      <c r="A10" t="inlineStr">
        <is>
          <t>2 Working capital</t>
        </is>
      </c>
      <c r="B10" s="26" t="inlineStr">
        <is>
          <t>Closing-balance days vs issuer's average-based days</t>
        </is>
      </c>
      <c r="C10" s="7" t="inlineStr"/>
      <c r="D10" s="7" t="inlineStr"/>
      <c r="E10" s="7" t="inlineStr"/>
    </row>
    <row r="11">
      <c r="A11" t="inlineStr">
        <is>
          <t>3 Receivables / payables / inventory</t>
        </is>
      </c>
      <c r="B11" s="26" t="inlineStr">
        <is>
          <t>Schedule III ageing: buckets from due date or invoice date?</t>
        </is>
      </c>
      <c r="C11" s="7" t="inlineStr"/>
      <c r="D11" s="7" t="inlineStr"/>
      <c r="E11" s="7" t="inlineStr"/>
    </row>
    <row r="12">
      <c r="A12" t="inlineStr">
        <is>
          <t>3 Receivables / payables / inventory</t>
        </is>
      </c>
      <c r="B12" s="26" t="inlineStr">
        <is>
          <t>Provision coverage on old debt</t>
        </is>
      </c>
      <c r="C12" s="7" t="inlineStr"/>
      <c r="D12" s="7" t="inlineStr"/>
      <c r="E12" s="7" t="inlineStr"/>
    </row>
    <row r="13">
      <c r="A13" t="inlineStr">
        <is>
          <t>3 Receivables / payables / inventory</t>
        </is>
      </c>
      <c r="B13" s="26" t="inlineStr">
        <is>
          <t>MSME payables and Sec 15/16 interest</t>
        </is>
      </c>
      <c r="C13" s="7" t="inlineStr"/>
      <c r="D13" s="7" t="inlineStr"/>
      <c r="E13" s="7" t="inlineStr"/>
    </row>
    <row r="14">
      <c r="A14" t="inlineStr">
        <is>
          <t>3 Receivables / payables / inventory</t>
        </is>
      </c>
      <c r="B14" s="26" t="inlineStr">
        <is>
          <t>Slow-moving inventory</t>
        </is>
      </c>
      <c r="C14" s="7" t="inlineStr"/>
      <c r="D14" s="7" t="inlineStr"/>
      <c r="E14" s="7" t="inlineStr"/>
    </row>
    <row r="15">
      <c r="A15" t="inlineStr">
        <is>
          <t>4 Revenue integrity</t>
        </is>
      </c>
      <c r="B15" s="26" t="inlineStr">
        <is>
          <t>Standalone vs consolidated revenue and EPS</t>
        </is>
      </c>
      <c r="C15" s="7" t="inlineStr"/>
      <c r="D15" s="7" t="inlineStr"/>
      <c r="E15" s="7" t="inlineStr"/>
    </row>
    <row r="16">
      <c r="A16" t="inlineStr">
        <is>
          <t>4 Revenue integrity</t>
        </is>
      </c>
      <c r="B16" s="26" t="inlineStr">
        <is>
          <t>Related-party contribution to growth</t>
        </is>
      </c>
      <c r="C16" s="7" t="inlineStr"/>
      <c r="D16" s="7" t="inlineStr"/>
      <c r="E16" s="7" t="inlineStr"/>
    </row>
    <row r="17">
      <c r="A17" t="inlineStr">
        <is>
          <t>4 Revenue integrity</t>
        </is>
      </c>
      <c r="B17" s="26" t="inlineStr">
        <is>
          <t>Segment/product splits ledgered or derived (round numbers + one plug)?</t>
        </is>
      </c>
      <c r="C17" s="7" t="inlineStr"/>
      <c r="D17" s="7" t="inlineStr"/>
      <c r="E17" s="7" t="inlineStr"/>
    </row>
    <row r="18">
      <c r="A18" t="inlineStr">
        <is>
          <t>5 Margin bridge</t>
        </is>
      </c>
      <c r="B18" s="26" t="inlineStr">
        <is>
          <t>Gross margin / employee / other cost contribution to margin change</t>
        </is>
      </c>
      <c r="C18" s="7" t="inlineStr"/>
      <c r="D18" s="7" t="inlineStr"/>
      <c r="E18" s="7" t="inlineStr"/>
    </row>
    <row r="19">
      <c r="A19" t="inlineStr">
        <is>
          <t>5 Margin bridge</t>
        </is>
      </c>
      <c r="B19" s="26" t="inlineStr">
        <is>
          <t>Is the margin plausible for the business model?</t>
        </is>
      </c>
      <c r="C19" s="7" t="inlineStr"/>
      <c r="D19" s="7" t="inlineStr"/>
      <c r="E19" s="7" t="inlineStr"/>
    </row>
    <row r="20">
      <c r="A20" t="inlineStr">
        <is>
          <t>5 Margin bridge</t>
        </is>
      </c>
      <c r="B20" s="26" t="inlineStr">
        <is>
          <t>Costs the company can reinstate at will</t>
        </is>
      </c>
      <c r="C20" s="7" t="inlineStr"/>
      <c r="D20" s="7" t="inlineStr"/>
      <c r="E20" s="7" t="inlineStr"/>
    </row>
    <row r="21">
      <c r="A21" t="inlineStr">
        <is>
          <t>6 Balance sheet and banking</t>
        </is>
      </c>
      <c r="B21" s="26" t="inlineStr">
        <is>
          <t>Sanctioned vs drawn, on-demand share</t>
        </is>
      </c>
      <c r="C21" s="7" t="inlineStr"/>
      <c r="D21" s="7" t="inlineStr"/>
      <c r="E21" s="7" t="inlineStr"/>
    </row>
    <row r="22">
      <c r="A22" t="inlineStr">
        <is>
          <t>6 Balance sheet and banking</t>
        </is>
      </c>
      <c r="B22" s="26" t="inlineStr">
        <is>
          <t>Covenants and lender consents</t>
        </is>
      </c>
      <c r="C22" s="7" t="inlineStr"/>
      <c r="D22" s="7" t="inlineStr"/>
      <c r="E22" s="7" t="inlineStr"/>
    </row>
    <row r="23">
      <c r="A23" t="inlineStr">
        <is>
          <t>6 Balance sheet and banking</t>
        </is>
      </c>
      <c r="B23" s="26" t="inlineStr">
        <is>
          <t>Personal guarantees / promoter property released by proceeds?</t>
        </is>
      </c>
      <c r="C23" s="7" t="inlineStr"/>
      <c r="D23" s="7" t="inlineStr"/>
      <c r="E23" s="7" t="inlineStr"/>
    </row>
    <row r="24">
      <c r="A24" t="inlineStr">
        <is>
          <t>6 Balance sheet and banking</t>
        </is>
      </c>
      <c r="B24" s="26" t="inlineStr">
        <is>
          <t>Credit rating trend; insurance cover vs assets</t>
        </is>
      </c>
      <c r="C24" s="7" t="inlineStr"/>
      <c r="D24" s="7" t="inlineStr"/>
      <c r="E24" s="7" t="inlineStr"/>
    </row>
    <row r="25">
      <c r="A25" t="inlineStr">
        <is>
          <t>7 Objects tested</t>
        </is>
      </c>
      <c r="B25" s="26" t="inlineStr">
        <is>
          <t>% to productive assets / WC / debt / unallocated</t>
        </is>
      </c>
      <c r="C25" s="7" t="inlineStr"/>
      <c r="D25" s="7" t="inlineStr"/>
      <c r="E25" s="7" t="inlineStr"/>
    </row>
    <row r="26">
      <c r="A26" t="inlineStr">
        <is>
          <t>7 Objects tested</t>
        </is>
      </c>
      <c r="B26" s="26" t="inlineStr">
        <is>
          <t>Debt repayment that is revolving WC</t>
        </is>
      </c>
      <c r="C26" s="7" t="inlineStr"/>
      <c r="D26" s="7" t="inlineStr"/>
      <c r="E26" s="7" t="inlineStr"/>
    </row>
    <row r="27">
      <c r="A27" t="inlineStr">
        <is>
          <t>7 Objects tested</t>
        </is>
      </c>
      <c r="B27" s="26" t="inlineStr">
        <is>
          <t>Quotation validity, FX date, firm orders, who prepared the DPR</t>
        </is>
      </c>
      <c r="C27" s="7" t="inlineStr"/>
      <c r="D27" s="7" t="inlineStr"/>
      <c r="E27" s="7" t="inlineStr"/>
    </row>
    <row r="28">
      <c r="A28" t="inlineStr">
        <is>
          <t>8 Post-issue dilution</t>
        </is>
      </c>
      <c r="B28" s="26" t="inlineStr">
        <is>
          <t>Post-money ROE / ROCE</t>
        </is>
      </c>
      <c r="C28" s="7" t="inlineStr"/>
      <c r="D28" s="7" t="inlineStr"/>
      <c r="E28" s="7" t="inlineStr"/>
    </row>
    <row r="29">
      <c r="A29" t="inlineStr">
        <is>
          <t>8 Post-issue dilution</t>
        </is>
      </c>
      <c r="B29" s="26" t="inlineStr">
        <is>
          <t>Offer price vs post-issue NAV (book dilution)</t>
        </is>
      </c>
      <c r="C29" s="7" t="inlineStr"/>
      <c r="D29" s="7" t="inlineStr"/>
      <c r="E29" s="7" t="inlineStr"/>
    </row>
    <row r="30">
      <c r="A30" t="inlineStr">
        <is>
          <t>8 Post-issue dilution</t>
        </is>
      </c>
      <c r="B30" s="26" t="inlineStr">
        <is>
          <t>Promoter WACA vs offer price</t>
        </is>
      </c>
      <c r="C30" s="7" t="inlineStr"/>
      <c r="D30" s="7" t="inlineStr"/>
      <c r="E30" s="7" t="inlineStr"/>
    </row>
    <row r="31">
      <c r="A31" t="inlineStr">
        <is>
          <t>9 Related parties</t>
        </is>
      </c>
      <c r="B31" s="26" t="inlineStr">
        <is>
          <t>Sales/purchases/advances/rent/remuneration/loans vs base</t>
        </is>
      </c>
      <c r="C31" s="7" t="inlineStr"/>
      <c r="D31" s="7" t="inlineStr"/>
      <c r="E31" s="7" t="inlineStr"/>
    </row>
    <row r="32">
      <c r="A32" t="inlineStr">
        <is>
          <t>9 Related parties</t>
        </is>
      </c>
      <c r="B32" s="26" t="inlineStr">
        <is>
          <t>Promoter remuneration: contracted vs drawn (charge the gap in Bear)</t>
        </is>
      </c>
      <c r="C32" s="7" t="inlineStr"/>
      <c r="D32" s="7" t="inlineStr"/>
      <c r="E32" s="7" t="inlineStr"/>
    </row>
    <row r="33">
      <c r="A33" t="inlineStr">
        <is>
          <t>9 Related parties</t>
        </is>
      </c>
      <c r="B33" s="26" t="inlineStr">
        <is>
          <t>Group entities that compete, supply or buy</t>
        </is>
      </c>
      <c r="C33" s="7" t="inlineStr"/>
      <c r="D33" s="7" t="inlineStr"/>
      <c r="E33" s="7" t="inlineStr"/>
    </row>
    <row r="34">
      <c r="A34" t="inlineStr">
        <is>
          <t>10 Management and governance</t>
        </is>
      </c>
      <c r="B34" s="26" t="inlineStr">
        <is>
          <t>Listed-company experience; KMP tenure &lt; 1 year</t>
        </is>
      </c>
      <c r="C34" s="7" t="inlineStr"/>
      <c r="D34" s="7" t="inlineStr"/>
      <c r="E34" s="7" t="inlineStr"/>
    </row>
    <row r="35">
      <c r="A35" t="inlineStr">
        <is>
          <t>10 Management and governance</t>
        </is>
      </c>
      <c r="B35" s="26" t="inlineStr">
        <is>
          <t>Independent director churn within 12 months</t>
        </is>
      </c>
      <c r="C35" s="7" t="inlineStr"/>
      <c r="D35" s="7" t="inlineStr"/>
      <c r="E35" s="7" t="inlineStr"/>
    </row>
    <row r="36">
      <c r="A36" t="inlineStr">
        <is>
          <t>10 Management and governance</t>
        </is>
      </c>
      <c r="B36" s="26" t="inlineStr">
        <is>
          <t>Auditor forensics: changes, ADT-1/ADT-3 dates, resignation reason, firm size</t>
        </is>
      </c>
      <c r="C36" s="7" t="inlineStr"/>
      <c r="D36" s="7" t="inlineStr"/>
      <c r="E36" s="7" t="inlineStr"/>
    </row>
    <row r="37">
      <c r="A37" t="inlineStr">
        <is>
          <t>11 Corporate record</t>
        </is>
      </c>
      <c r="B37" s="26" t="inlineStr">
        <is>
          <t>Compounding / adjudication; late e-form filings</t>
        </is>
      </c>
      <c r="C37" s="7" t="inlineStr"/>
      <c r="D37" s="7" t="inlineStr"/>
      <c r="E37" s="7" t="inlineStr"/>
    </row>
    <row r="38">
      <c r="A38" t="inlineStr">
        <is>
          <t>11 Corporate record</t>
        </is>
      </c>
      <c r="B38" s="26" t="inlineStr">
        <is>
          <t>BEN-1/BEN-2 compliance</t>
        </is>
      </c>
      <c r="C38" s="7" t="inlineStr"/>
      <c r="D38" s="7" t="inlineStr"/>
      <c r="E38" s="7" t="inlineStr"/>
    </row>
    <row r="39">
      <c r="A39" t="inlineStr">
        <is>
          <t>11 Corporate record</t>
        </is>
      </c>
      <c r="B39" s="26" t="inlineStr">
        <is>
          <t>Pre-IPO gifts/transfers and effect on WACA</t>
        </is>
      </c>
      <c r="C39" s="7" t="inlineStr"/>
      <c r="D39" s="7" t="inlineStr"/>
      <c r="E39" s="7" t="inlineStr"/>
    </row>
    <row r="40">
      <c r="A40" t="inlineStr">
        <is>
          <t>11 Corporate record</t>
        </is>
      </c>
      <c r="B40" s="26" t="inlineStr">
        <is>
          <t>Statutory dues delays; approvals pending</t>
        </is>
      </c>
      <c r="C40" s="7" t="inlineStr"/>
      <c r="D40" s="7" t="inlineStr"/>
      <c r="E40" s="7" t="inlineStr"/>
    </row>
    <row r="41">
      <c r="A41" t="inlineStr">
        <is>
          <t>12 Industry and competition</t>
        </is>
      </c>
      <c r="B41" s="26" t="inlineStr">
        <is>
          <t>Who paid for the industry report?</t>
        </is>
      </c>
      <c r="C41" s="7" t="inlineStr"/>
      <c r="D41" s="7" t="inlineStr"/>
      <c r="E41" s="7" t="inlineStr"/>
    </row>
    <row r="42">
      <c r="A42" t="inlineStr">
        <is>
          <t>12 Industry and competition</t>
        </is>
      </c>
      <c r="B42" s="26" t="inlineStr">
        <is>
          <t>Competitors the document does not name</t>
        </is>
      </c>
      <c r="C42" s="7" t="inlineStr"/>
      <c r="D42" s="7" t="inlineStr"/>
      <c r="E42" s="7" t="inlineStr"/>
    </row>
    <row r="43">
      <c r="A43" t="inlineStr">
        <is>
          <t>12 Industry and competition</t>
        </is>
      </c>
      <c r="B43" s="26" t="inlineStr">
        <is>
          <t>Disposals: who bought and what they did next</t>
        </is>
      </c>
      <c r="C43" s="7" t="inlineStr"/>
      <c r="D43" s="7" t="inlineStr"/>
      <c r="E43" s="7" t="inlineStr"/>
    </row>
    <row r="44">
      <c r="A44" t="inlineStr">
        <is>
          <t>12 Industry and competition</t>
        </is>
      </c>
      <c r="B44" s="26" t="inlineStr">
        <is>
          <t>Arm's-length transactions in own shares - implied multiple</t>
        </is>
      </c>
      <c r="C44" s="7" t="inlineStr"/>
      <c r="D44" s="7" t="inlineStr"/>
      <c r="E44" s="7" t="inlineStr"/>
    </row>
  </sheetData>
  <dataValidations count="40">
    <dataValidation sqref="D5" showDropDown="0" showInputMessage="0" showErrorMessage="0" allowBlank="1" type="list">
      <formula1>"Yes,No"</formula1>
    </dataValidation>
    <dataValidation sqref="D6" showDropDown="0" showInputMessage="0" showErrorMessage="0" allowBlank="1" type="list">
      <formula1>"Yes,No"</formula1>
    </dataValidation>
    <dataValidation sqref="D7" showDropDown="0" showInputMessage="0" showErrorMessage="0" allowBlank="1" type="list">
      <formula1>"Yes,No"</formula1>
    </dataValidation>
    <dataValidation sqref="D8" showDropDown="0" showInputMessage="0" showErrorMessage="0" allowBlank="1" type="list">
      <formula1>"Yes,No"</formula1>
    </dataValidation>
    <dataValidation sqref="D9" showDropDown="0" showInputMessage="0" showErrorMessage="0" allowBlank="1" type="list">
      <formula1>"Yes,No"</formula1>
    </dataValidation>
    <dataValidation sqref="D10" showDropDown="0" showInputMessage="0" showErrorMessage="0" allowBlank="1" type="list">
      <formula1>"Yes,No"</formula1>
    </dataValidation>
    <dataValidation sqref="D11" showDropDown="0" showInputMessage="0" showErrorMessage="0" allowBlank="1" type="list">
      <formula1>"Yes,No"</formula1>
    </dataValidation>
    <dataValidation sqref="D12" showDropDown="0" showInputMessage="0" showErrorMessage="0" allowBlank="1" type="list">
      <formula1>"Yes,No"</formula1>
    </dataValidation>
    <dataValidation sqref="D13" showDropDown="0" showInputMessage="0" showErrorMessage="0" allowBlank="1" type="list">
      <formula1>"Yes,No"</formula1>
    </dataValidation>
    <dataValidation sqref="D14" showDropDown="0" showInputMessage="0" showErrorMessage="0" allowBlank="1" type="list">
      <formula1>"Yes,No"</formula1>
    </dataValidation>
    <dataValidation sqref="D15" showDropDown="0" showInputMessage="0" showErrorMessage="0" allowBlank="1" type="list">
      <formula1>"Yes,No"</formula1>
    </dataValidation>
    <dataValidation sqref="D16" showDropDown="0" showInputMessage="0" showErrorMessage="0" allowBlank="1" type="list">
      <formula1>"Yes,No"</formula1>
    </dataValidation>
    <dataValidation sqref="D17" showDropDown="0" showInputMessage="0" showErrorMessage="0" allowBlank="1" type="list">
      <formula1>"Yes,No"</formula1>
    </dataValidation>
    <dataValidation sqref="D18" showDropDown="0" showInputMessage="0" showErrorMessage="0" allowBlank="1" type="list">
      <formula1>"Yes,No"</formula1>
    </dataValidation>
    <dataValidation sqref="D19" showDropDown="0" showInputMessage="0" showErrorMessage="0" allowBlank="1" type="list">
      <formula1>"Yes,No"</formula1>
    </dataValidation>
    <dataValidation sqref="D20" showDropDown="0" showInputMessage="0" showErrorMessage="0" allowBlank="1" type="list">
      <formula1>"Yes,No"</formula1>
    </dataValidation>
    <dataValidation sqref="D21" showDropDown="0" showInputMessage="0" showErrorMessage="0" allowBlank="1" type="list">
      <formula1>"Yes,No"</formula1>
    </dataValidation>
    <dataValidation sqref="D22" showDropDown="0" showInputMessage="0" showErrorMessage="0" allowBlank="1" type="list">
      <formula1>"Yes,No"</formula1>
    </dataValidation>
    <dataValidation sqref="D23" showDropDown="0" showInputMessage="0" showErrorMessage="0" allowBlank="1" type="list">
      <formula1>"Yes,No"</formula1>
    </dataValidation>
    <dataValidation sqref="D24" showDropDown="0" showInputMessage="0" showErrorMessage="0" allowBlank="1" type="list">
      <formula1>"Yes,No"</formula1>
    </dataValidation>
    <dataValidation sqref="D25" showDropDown="0" showInputMessage="0" showErrorMessage="0" allowBlank="1" type="list">
      <formula1>"Yes,No"</formula1>
    </dataValidation>
    <dataValidation sqref="D26" showDropDown="0" showInputMessage="0" showErrorMessage="0" allowBlank="1" type="list">
      <formula1>"Yes,No"</formula1>
    </dataValidation>
    <dataValidation sqref="D27" showDropDown="0" showInputMessage="0" showErrorMessage="0" allowBlank="1" type="list">
      <formula1>"Yes,No"</formula1>
    </dataValidation>
    <dataValidation sqref="D28" showDropDown="0" showInputMessage="0" showErrorMessage="0" allowBlank="1" type="list">
      <formula1>"Yes,No"</formula1>
    </dataValidation>
    <dataValidation sqref="D29" showDropDown="0" showInputMessage="0" showErrorMessage="0" allowBlank="1" type="list">
      <formula1>"Yes,No"</formula1>
    </dataValidation>
    <dataValidation sqref="D30" showDropDown="0" showInputMessage="0" showErrorMessage="0" allowBlank="1" type="list">
      <formula1>"Yes,No"</formula1>
    </dataValidation>
    <dataValidation sqref="D31" showDropDown="0" showInputMessage="0" showErrorMessage="0" allowBlank="1" type="list">
      <formula1>"Yes,No"</formula1>
    </dataValidation>
    <dataValidation sqref="D32" showDropDown="0" showInputMessage="0" showErrorMessage="0" allowBlank="1" type="list">
      <formula1>"Yes,No"</formula1>
    </dataValidation>
    <dataValidation sqref="D33" showDropDown="0" showInputMessage="0" showErrorMessage="0" allowBlank="1" type="list">
      <formula1>"Yes,No"</formula1>
    </dataValidation>
    <dataValidation sqref="D34" showDropDown="0" showInputMessage="0" showErrorMessage="0" allowBlank="1" type="list">
      <formula1>"Yes,No"</formula1>
    </dataValidation>
    <dataValidation sqref="D35" showDropDown="0" showInputMessage="0" showErrorMessage="0" allowBlank="1" type="list">
      <formula1>"Yes,No"</formula1>
    </dataValidation>
    <dataValidation sqref="D36" showDropDown="0" showInputMessage="0" showErrorMessage="0" allowBlank="1" type="list">
      <formula1>"Yes,No"</formula1>
    </dataValidation>
    <dataValidation sqref="D37" showDropDown="0" showInputMessage="0" showErrorMessage="0" allowBlank="1" type="list">
      <formula1>"Yes,No"</formula1>
    </dataValidation>
    <dataValidation sqref="D38" showDropDown="0" showInputMessage="0" showErrorMessage="0" allowBlank="1" type="list">
      <formula1>"Yes,No"</formula1>
    </dataValidation>
    <dataValidation sqref="D39" showDropDown="0" showInputMessage="0" showErrorMessage="0" allowBlank="1" type="list">
      <formula1>"Yes,No"</formula1>
    </dataValidation>
    <dataValidation sqref="D40" showDropDown="0" showInputMessage="0" showErrorMessage="0" allowBlank="1" type="list">
      <formula1>"Yes,No"</formula1>
    </dataValidation>
    <dataValidation sqref="D41" showDropDown="0" showInputMessage="0" showErrorMessage="0" allowBlank="1" type="list">
      <formula1>"Yes,No"</formula1>
    </dataValidation>
    <dataValidation sqref="D42" showDropDown="0" showInputMessage="0" showErrorMessage="0" allowBlank="1" type="list">
      <formula1>"Yes,No"</formula1>
    </dataValidation>
    <dataValidation sqref="D43" showDropDown="0" showInputMessage="0" showErrorMessage="0" allowBlank="1" type="list">
      <formula1>"Yes,No"</formula1>
    </dataValidation>
    <dataValidation sqref="D44" showDropDown="0" showInputMessage="0" showErrorMessage="0" allowBlank="1" type="list">
      <formula1>"Yes,No"</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29"/>
  <sheetViews>
    <sheetView showGridLines="0" workbookViewId="0">
      <selection activeCell="A1" sqref="A1"/>
    </sheetView>
  </sheetViews>
  <sheetFormatPr baseColWidth="8" defaultRowHeight="15"/>
  <cols>
    <col width="40" customWidth="1" min="1" max="1"/>
    <col width="10" customWidth="1" min="2" max="2"/>
    <col width="48" customWidth="1" min="3" max="3"/>
    <col width="34" customWidth="1" min="4" max="4"/>
    <col width="18" customWidth="1" min="5" max="5"/>
    <col width="22" customWidth="1" min="6" max="6"/>
  </cols>
  <sheetData>
    <row r="1" ht="24" customHeight="1">
      <c r="A1" s="1" t="inlineStr">
        <is>
          <t>Data gaps - declared holes, never estimated</t>
        </is>
      </c>
    </row>
    <row r="2" ht="20" customHeight="1">
      <c r="A2" s="2" t="inlineStr">
        <is>
          <t>Parshwanath Capital Ventures Fund | SEBI Registered CAT III AIF | IN/AIF3/25-26/2108 | Fund Manager: CA Deep Dalal | Sponsor: Jignesh Shah</t>
        </is>
      </c>
    </row>
    <row r="4">
      <c r="A4" s="15" t="inlineStr">
        <is>
          <t>Item</t>
        </is>
      </c>
      <c r="B4" s="15" t="inlineStr">
        <is>
          <t>Severity</t>
        </is>
      </c>
      <c r="C4" s="15" t="inlineStr">
        <is>
          <t>Why it matters</t>
        </is>
      </c>
      <c r="D4" s="15" t="inlineStr">
        <is>
          <t>Source to try (BSE/NSE/MCA/ROC)</t>
        </is>
      </c>
      <c r="E4" s="15" t="inlineStr">
        <is>
          <t>Status</t>
        </is>
      </c>
      <c r="F4" s="15" t="inlineStr">
        <is>
          <t>Closed in RHP?</t>
        </is>
      </c>
    </row>
    <row r="5">
      <c r="A5" s="7" t="inlineStr">
        <is>
          <t>BRLM track record compilation</t>
        </is>
      </c>
      <c r="B5" s="7" t="inlineStr">
        <is>
          <t>Medium</t>
        </is>
      </c>
      <c r="C5" s="7" t="inlineStr">
        <is>
          <t>Required by SEBI circular; usually delegated to the BRLM website</t>
        </is>
      </c>
      <c r="D5" s="7" t="inlineStr"/>
      <c r="E5" s="7" t="inlineStr"/>
      <c r="F5" s="7" t="inlineStr"/>
    </row>
    <row r="6">
      <c r="A6" s="7" t="inlineStr"/>
      <c r="B6" s="7" t="inlineStr"/>
      <c r="C6" s="7" t="inlineStr"/>
      <c r="D6" s="7" t="inlineStr"/>
      <c r="E6" s="7" t="inlineStr"/>
      <c r="F6" s="7" t="inlineStr"/>
    </row>
    <row r="7">
      <c r="A7" s="7" t="inlineStr"/>
      <c r="B7" s="7" t="inlineStr"/>
      <c r="C7" s="7" t="inlineStr"/>
      <c r="D7" s="7" t="inlineStr"/>
      <c r="E7" s="7" t="inlineStr"/>
      <c r="F7" s="7" t="inlineStr"/>
    </row>
    <row r="8">
      <c r="A8" s="7" t="inlineStr"/>
      <c r="B8" s="7" t="inlineStr"/>
      <c r="C8" s="7" t="inlineStr"/>
      <c r="D8" s="7" t="inlineStr"/>
      <c r="E8" s="7" t="inlineStr"/>
      <c r="F8" s="7" t="inlineStr"/>
    </row>
    <row r="9">
      <c r="A9" s="7" t="inlineStr"/>
      <c r="B9" s="7" t="inlineStr"/>
      <c r="C9" s="7" t="inlineStr"/>
      <c r="D9" s="7" t="inlineStr"/>
      <c r="E9" s="7" t="inlineStr"/>
      <c r="F9" s="7" t="inlineStr"/>
    </row>
    <row r="10">
      <c r="A10" s="7" t="inlineStr"/>
      <c r="B10" s="7" t="inlineStr"/>
      <c r="C10" s="7" t="inlineStr"/>
      <c r="D10" s="7" t="inlineStr"/>
      <c r="E10" s="7" t="inlineStr"/>
      <c r="F10" s="7" t="inlineStr"/>
    </row>
    <row r="11">
      <c r="A11" s="7" t="inlineStr"/>
      <c r="B11" s="7" t="inlineStr"/>
      <c r="C11" s="7" t="inlineStr"/>
      <c r="D11" s="7" t="inlineStr"/>
      <c r="E11" s="7" t="inlineStr"/>
      <c r="F11" s="7" t="inlineStr"/>
    </row>
    <row r="12">
      <c r="A12" s="7" t="inlineStr"/>
      <c r="B12" s="7" t="inlineStr"/>
      <c r="C12" s="7" t="inlineStr"/>
      <c r="D12" s="7" t="inlineStr"/>
      <c r="E12" s="7" t="inlineStr"/>
      <c r="F12" s="7" t="inlineStr"/>
    </row>
    <row r="13">
      <c r="A13" s="7" t="inlineStr"/>
      <c r="B13" s="7" t="inlineStr"/>
      <c r="C13" s="7" t="inlineStr"/>
      <c r="D13" s="7" t="inlineStr"/>
      <c r="E13" s="7" t="inlineStr"/>
      <c r="F13" s="7" t="inlineStr"/>
    </row>
    <row r="14">
      <c r="A14" s="7" t="inlineStr"/>
      <c r="B14" s="7" t="inlineStr"/>
      <c r="C14" s="7" t="inlineStr"/>
      <c r="D14" s="7" t="inlineStr"/>
      <c r="E14" s="7" t="inlineStr"/>
      <c r="F14" s="7" t="inlineStr"/>
    </row>
    <row r="15">
      <c r="A15" s="7" t="inlineStr"/>
      <c r="B15" s="7" t="inlineStr"/>
      <c r="C15" s="7" t="inlineStr"/>
      <c r="D15" s="7" t="inlineStr"/>
      <c r="E15" s="7" t="inlineStr"/>
      <c r="F15" s="7" t="inlineStr"/>
    </row>
    <row r="16">
      <c r="A16" s="7" t="inlineStr"/>
      <c r="B16" s="7" t="inlineStr"/>
      <c r="C16" s="7" t="inlineStr"/>
      <c r="D16" s="7" t="inlineStr"/>
      <c r="E16" s="7" t="inlineStr"/>
      <c r="F16" s="7" t="inlineStr"/>
    </row>
    <row r="17">
      <c r="A17" s="7" t="inlineStr"/>
      <c r="B17" s="7" t="inlineStr"/>
      <c r="C17" s="7" t="inlineStr"/>
      <c r="D17" s="7" t="inlineStr"/>
      <c r="E17" s="7" t="inlineStr"/>
      <c r="F17" s="7" t="inlineStr"/>
    </row>
    <row r="18">
      <c r="A18" s="7" t="inlineStr"/>
      <c r="B18" s="7" t="inlineStr"/>
      <c r="C18" s="7" t="inlineStr"/>
      <c r="D18" s="7" t="inlineStr"/>
      <c r="E18" s="7" t="inlineStr"/>
      <c r="F18" s="7" t="inlineStr"/>
    </row>
    <row r="19">
      <c r="A19" s="7" t="inlineStr"/>
      <c r="B19" s="7" t="inlineStr"/>
      <c r="C19" s="7" t="inlineStr"/>
      <c r="D19" s="7" t="inlineStr"/>
      <c r="E19" s="7" t="inlineStr"/>
      <c r="F19" s="7" t="inlineStr"/>
    </row>
    <row r="20">
      <c r="A20" s="7" t="inlineStr"/>
      <c r="B20" s="7" t="inlineStr"/>
      <c r="C20" s="7" t="inlineStr"/>
      <c r="D20" s="7" t="inlineStr"/>
      <c r="E20" s="7" t="inlineStr"/>
      <c r="F20" s="7" t="inlineStr"/>
    </row>
    <row r="21">
      <c r="A21" s="7" t="inlineStr"/>
      <c r="B21" s="7" t="inlineStr"/>
      <c r="C21" s="7" t="inlineStr"/>
      <c r="D21" s="7" t="inlineStr"/>
      <c r="E21" s="7" t="inlineStr"/>
      <c r="F21" s="7" t="inlineStr"/>
    </row>
    <row r="22">
      <c r="A22" s="7" t="inlineStr"/>
      <c r="B22" s="7" t="inlineStr"/>
      <c r="C22" s="7" t="inlineStr"/>
      <c r="D22" s="7" t="inlineStr"/>
      <c r="E22" s="7" t="inlineStr"/>
      <c r="F22" s="7" t="inlineStr"/>
    </row>
    <row r="23">
      <c r="A23" s="7" t="inlineStr"/>
      <c r="B23" s="7" t="inlineStr"/>
      <c r="C23" s="7" t="inlineStr"/>
      <c r="D23" s="7" t="inlineStr"/>
      <c r="E23" s="7" t="inlineStr"/>
      <c r="F23" s="7" t="inlineStr"/>
    </row>
    <row r="24">
      <c r="A24" s="7" t="inlineStr"/>
      <c r="B24" s="7" t="inlineStr"/>
      <c r="C24" s="7" t="inlineStr"/>
      <c r="D24" s="7" t="inlineStr"/>
      <c r="E24" s="7" t="inlineStr"/>
      <c r="F24" s="7" t="inlineStr"/>
    </row>
    <row r="25">
      <c r="A25" s="7" t="inlineStr"/>
      <c r="B25" s="7" t="inlineStr"/>
      <c r="C25" s="7" t="inlineStr"/>
      <c r="D25" s="7" t="inlineStr"/>
      <c r="E25" s="7" t="inlineStr"/>
      <c r="F25" s="7" t="inlineStr"/>
    </row>
    <row r="26">
      <c r="A26" s="7" t="inlineStr"/>
      <c r="B26" s="7" t="inlineStr"/>
      <c r="C26" s="7" t="inlineStr"/>
      <c r="D26" s="7" t="inlineStr"/>
      <c r="E26" s="7" t="inlineStr"/>
      <c r="F26" s="7" t="inlineStr"/>
    </row>
    <row r="27">
      <c r="A27" s="7" t="inlineStr"/>
      <c r="B27" s="7" t="inlineStr"/>
      <c r="C27" s="7" t="inlineStr"/>
      <c r="D27" s="7" t="inlineStr"/>
      <c r="E27" s="7" t="inlineStr"/>
      <c r="F27" s="7" t="inlineStr"/>
    </row>
    <row r="28">
      <c r="A28" s="7" t="inlineStr"/>
      <c r="B28" s="7" t="inlineStr"/>
      <c r="C28" s="7" t="inlineStr"/>
      <c r="D28" s="7" t="inlineStr"/>
      <c r="E28" s="7" t="inlineStr"/>
      <c r="F28" s="7" t="inlineStr"/>
    </row>
    <row r="29">
      <c r="A29" s="7" t="inlineStr"/>
      <c r="B29" s="7" t="inlineStr"/>
      <c r="C29" s="7" t="inlineStr"/>
      <c r="D29" s="7" t="inlineStr"/>
      <c r="E29" s="7" t="inlineStr"/>
      <c r="F29" s="7" t="inlineStr"/>
    </row>
  </sheetData>
  <dataValidations count="75">
    <dataValidation sqref="B5" showDropDown="0" showInputMessage="0" showErrorMessage="0" allowBlank="1" type="list">
      <formula1>"High,Medium,Low"</formula1>
    </dataValidation>
    <dataValidation sqref="E5" showDropDown="0" showInputMessage="0" showErrorMessage="0" allowBlank="1" type="list">
      <formula1>"Open,Sourced,Asked issuer/BRLM"</formula1>
    </dataValidation>
    <dataValidation sqref="F5" showDropDown="0" showInputMessage="0" showErrorMessage="0" allowBlank="1" type="list">
      <formula1>"Closed,Closed unsatisfactorily,Ignored,-"</formula1>
    </dataValidation>
    <dataValidation sqref="B6" showDropDown="0" showInputMessage="0" showErrorMessage="0" allowBlank="1" type="list">
      <formula1>"High,Medium,Low"</formula1>
    </dataValidation>
    <dataValidation sqref="E6" showDropDown="0" showInputMessage="0" showErrorMessage="0" allowBlank="1" type="list">
      <formula1>"Open,Sourced,Asked issuer/BRLM"</formula1>
    </dataValidation>
    <dataValidation sqref="F6" showDropDown="0" showInputMessage="0" showErrorMessage="0" allowBlank="1" type="list">
      <formula1>"Closed,Closed unsatisfactorily,Ignored,-"</formula1>
    </dataValidation>
    <dataValidation sqref="B7" showDropDown="0" showInputMessage="0" showErrorMessage="0" allowBlank="1" type="list">
      <formula1>"High,Medium,Low"</formula1>
    </dataValidation>
    <dataValidation sqref="E7" showDropDown="0" showInputMessage="0" showErrorMessage="0" allowBlank="1" type="list">
      <formula1>"Open,Sourced,Asked issuer/BRLM"</formula1>
    </dataValidation>
    <dataValidation sqref="F7" showDropDown="0" showInputMessage="0" showErrorMessage="0" allowBlank="1" type="list">
      <formula1>"Closed,Closed unsatisfactorily,Ignored,-"</formula1>
    </dataValidation>
    <dataValidation sqref="B8" showDropDown="0" showInputMessage="0" showErrorMessage="0" allowBlank="1" type="list">
      <formula1>"High,Medium,Low"</formula1>
    </dataValidation>
    <dataValidation sqref="E8" showDropDown="0" showInputMessage="0" showErrorMessage="0" allowBlank="1" type="list">
      <formula1>"Open,Sourced,Asked issuer/BRLM"</formula1>
    </dataValidation>
    <dataValidation sqref="F8" showDropDown="0" showInputMessage="0" showErrorMessage="0" allowBlank="1" type="list">
      <formula1>"Closed,Closed unsatisfactorily,Ignored,-"</formula1>
    </dataValidation>
    <dataValidation sqref="B9" showDropDown="0" showInputMessage="0" showErrorMessage="0" allowBlank="1" type="list">
      <formula1>"High,Medium,Low"</formula1>
    </dataValidation>
    <dataValidation sqref="E9" showDropDown="0" showInputMessage="0" showErrorMessage="0" allowBlank="1" type="list">
      <formula1>"Open,Sourced,Asked issuer/BRLM"</formula1>
    </dataValidation>
    <dataValidation sqref="F9" showDropDown="0" showInputMessage="0" showErrorMessage="0" allowBlank="1" type="list">
      <formula1>"Closed,Closed unsatisfactorily,Ignored,-"</formula1>
    </dataValidation>
    <dataValidation sqref="B10" showDropDown="0" showInputMessage="0" showErrorMessage="0" allowBlank="1" type="list">
      <formula1>"High,Medium,Low"</formula1>
    </dataValidation>
    <dataValidation sqref="E10" showDropDown="0" showInputMessage="0" showErrorMessage="0" allowBlank="1" type="list">
      <formula1>"Open,Sourced,Asked issuer/BRLM"</formula1>
    </dataValidation>
    <dataValidation sqref="F10" showDropDown="0" showInputMessage="0" showErrorMessage="0" allowBlank="1" type="list">
      <formula1>"Closed,Closed unsatisfactorily,Ignored,-"</formula1>
    </dataValidation>
    <dataValidation sqref="B11" showDropDown="0" showInputMessage="0" showErrorMessage="0" allowBlank="1" type="list">
      <formula1>"High,Medium,Low"</formula1>
    </dataValidation>
    <dataValidation sqref="E11" showDropDown="0" showInputMessage="0" showErrorMessage="0" allowBlank="1" type="list">
      <formula1>"Open,Sourced,Asked issuer/BRLM"</formula1>
    </dataValidation>
    <dataValidation sqref="F11" showDropDown="0" showInputMessage="0" showErrorMessage="0" allowBlank="1" type="list">
      <formula1>"Closed,Closed unsatisfactorily,Ignored,-"</formula1>
    </dataValidation>
    <dataValidation sqref="B12" showDropDown="0" showInputMessage="0" showErrorMessage="0" allowBlank="1" type="list">
      <formula1>"High,Medium,Low"</formula1>
    </dataValidation>
    <dataValidation sqref="E12" showDropDown="0" showInputMessage="0" showErrorMessage="0" allowBlank="1" type="list">
      <formula1>"Open,Sourced,Asked issuer/BRLM"</formula1>
    </dataValidation>
    <dataValidation sqref="F12" showDropDown="0" showInputMessage="0" showErrorMessage="0" allowBlank="1" type="list">
      <formula1>"Closed,Closed unsatisfactorily,Ignored,-"</formula1>
    </dataValidation>
    <dataValidation sqref="B13" showDropDown="0" showInputMessage="0" showErrorMessage="0" allowBlank="1" type="list">
      <formula1>"High,Medium,Low"</formula1>
    </dataValidation>
    <dataValidation sqref="E13" showDropDown="0" showInputMessage="0" showErrorMessage="0" allowBlank="1" type="list">
      <formula1>"Open,Sourced,Asked issuer/BRLM"</formula1>
    </dataValidation>
    <dataValidation sqref="F13" showDropDown="0" showInputMessage="0" showErrorMessage="0" allowBlank="1" type="list">
      <formula1>"Closed,Closed unsatisfactorily,Ignored,-"</formula1>
    </dataValidation>
    <dataValidation sqref="B14" showDropDown="0" showInputMessage="0" showErrorMessage="0" allowBlank="1" type="list">
      <formula1>"High,Medium,Low"</formula1>
    </dataValidation>
    <dataValidation sqref="E14" showDropDown="0" showInputMessage="0" showErrorMessage="0" allowBlank="1" type="list">
      <formula1>"Open,Sourced,Asked issuer/BRLM"</formula1>
    </dataValidation>
    <dataValidation sqref="F14" showDropDown="0" showInputMessage="0" showErrorMessage="0" allowBlank="1" type="list">
      <formula1>"Closed,Closed unsatisfactorily,Ignored,-"</formula1>
    </dataValidation>
    <dataValidation sqref="B15" showDropDown="0" showInputMessage="0" showErrorMessage="0" allowBlank="1" type="list">
      <formula1>"High,Medium,Low"</formula1>
    </dataValidation>
    <dataValidation sqref="E15" showDropDown="0" showInputMessage="0" showErrorMessage="0" allowBlank="1" type="list">
      <formula1>"Open,Sourced,Asked issuer/BRLM"</formula1>
    </dataValidation>
    <dataValidation sqref="F15" showDropDown="0" showInputMessage="0" showErrorMessage="0" allowBlank="1" type="list">
      <formula1>"Closed,Closed unsatisfactorily,Ignored,-"</formula1>
    </dataValidation>
    <dataValidation sqref="B16" showDropDown="0" showInputMessage="0" showErrorMessage="0" allowBlank="1" type="list">
      <formula1>"High,Medium,Low"</formula1>
    </dataValidation>
    <dataValidation sqref="E16" showDropDown="0" showInputMessage="0" showErrorMessage="0" allowBlank="1" type="list">
      <formula1>"Open,Sourced,Asked issuer/BRLM"</formula1>
    </dataValidation>
    <dataValidation sqref="F16" showDropDown="0" showInputMessage="0" showErrorMessage="0" allowBlank="1" type="list">
      <formula1>"Closed,Closed unsatisfactorily,Ignored,-"</formula1>
    </dataValidation>
    <dataValidation sqref="B17" showDropDown="0" showInputMessage="0" showErrorMessage="0" allowBlank="1" type="list">
      <formula1>"High,Medium,Low"</formula1>
    </dataValidation>
    <dataValidation sqref="E17" showDropDown="0" showInputMessage="0" showErrorMessage="0" allowBlank="1" type="list">
      <formula1>"Open,Sourced,Asked issuer/BRLM"</formula1>
    </dataValidation>
    <dataValidation sqref="F17" showDropDown="0" showInputMessage="0" showErrorMessage="0" allowBlank="1" type="list">
      <formula1>"Closed,Closed unsatisfactorily,Ignored,-"</formula1>
    </dataValidation>
    <dataValidation sqref="B18" showDropDown="0" showInputMessage="0" showErrorMessage="0" allowBlank="1" type="list">
      <formula1>"High,Medium,Low"</formula1>
    </dataValidation>
    <dataValidation sqref="E18" showDropDown="0" showInputMessage="0" showErrorMessage="0" allowBlank="1" type="list">
      <formula1>"Open,Sourced,Asked issuer/BRLM"</formula1>
    </dataValidation>
    <dataValidation sqref="F18" showDropDown="0" showInputMessage="0" showErrorMessage="0" allowBlank="1" type="list">
      <formula1>"Closed,Closed unsatisfactorily,Ignored,-"</formula1>
    </dataValidation>
    <dataValidation sqref="B19" showDropDown="0" showInputMessage="0" showErrorMessage="0" allowBlank="1" type="list">
      <formula1>"High,Medium,Low"</formula1>
    </dataValidation>
    <dataValidation sqref="E19" showDropDown="0" showInputMessage="0" showErrorMessage="0" allowBlank="1" type="list">
      <formula1>"Open,Sourced,Asked issuer/BRLM"</formula1>
    </dataValidation>
    <dataValidation sqref="F19" showDropDown="0" showInputMessage="0" showErrorMessage="0" allowBlank="1" type="list">
      <formula1>"Closed,Closed unsatisfactorily,Ignored,-"</formula1>
    </dataValidation>
    <dataValidation sqref="B20" showDropDown="0" showInputMessage="0" showErrorMessage="0" allowBlank="1" type="list">
      <formula1>"High,Medium,Low"</formula1>
    </dataValidation>
    <dataValidation sqref="E20" showDropDown="0" showInputMessage="0" showErrorMessage="0" allowBlank="1" type="list">
      <formula1>"Open,Sourced,Asked issuer/BRLM"</formula1>
    </dataValidation>
    <dataValidation sqref="F20" showDropDown="0" showInputMessage="0" showErrorMessage="0" allowBlank="1" type="list">
      <formula1>"Closed,Closed unsatisfactorily,Ignored,-"</formula1>
    </dataValidation>
    <dataValidation sqref="B21" showDropDown="0" showInputMessage="0" showErrorMessage="0" allowBlank="1" type="list">
      <formula1>"High,Medium,Low"</formula1>
    </dataValidation>
    <dataValidation sqref="E21" showDropDown="0" showInputMessage="0" showErrorMessage="0" allowBlank="1" type="list">
      <formula1>"Open,Sourced,Asked issuer/BRLM"</formula1>
    </dataValidation>
    <dataValidation sqref="F21" showDropDown="0" showInputMessage="0" showErrorMessage="0" allowBlank="1" type="list">
      <formula1>"Closed,Closed unsatisfactorily,Ignored,-"</formula1>
    </dataValidation>
    <dataValidation sqref="B22" showDropDown="0" showInputMessage="0" showErrorMessage="0" allowBlank="1" type="list">
      <formula1>"High,Medium,Low"</formula1>
    </dataValidation>
    <dataValidation sqref="E22" showDropDown="0" showInputMessage="0" showErrorMessage="0" allowBlank="1" type="list">
      <formula1>"Open,Sourced,Asked issuer/BRLM"</formula1>
    </dataValidation>
    <dataValidation sqref="F22" showDropDown="0" showInputMessage="0" showErrorMessage="0" allowBlank="1" type="list">
      <formula1>"Closed,Closed unsatisfactorily,Ignored,-"</formula1>
    </dataValidation>
    <dataValidation sqref="B23" showDropDown="0" showInputMessage="0" showErrorMessage="0" allowBlank="1" type="list">
      <formula1>"High,Medium,Low"</formula1>
    </dataValidation>
    <dataValidation sqref="E23" showDropDown="0" showInputMessage="0" showErrorMessage="0" allowBlank="1" type="list">
      <formula1>"Open,Sourced,Asked issuer/BRLM"</formula1>
    </dataValidation>
    <dataValidation sqref="F23" showDropDown="0" showInputMessage="0" showErrorMessage="0" allowBlank="1" type="list">
      <formula1>"Closed,Closed unsatisfactorily,Ignored,-"</formula1>
    </dataValidation>
    <dataValidation sqref="B24" showDropDown="0" showInputMessage="0" showErrorMessage="0" allowBlank="1" type="list">
      <formula1>"High,Medium,Low"</formula1>
    </dataValidation>
    <dataValidation sqref="E24" showDropDown="0" showInputMessage="0" showErrorMessage="0" allowBlank="1" type="list">
      <formula1>"Open,Sourced,Asked issuer/BRLM"</formula1>
    </dataValidation>
    <dataValidation sqref="F24" showDropDown="0" showInputMessage="0" showErrorMessage="0" allowBlank="1" type="list">
      <formula1>"Closed,Closed unsatisfactorily,Ignored,-"</formula1>
    </dataValidation>
    <dataValidation sqref="B25" showDropDown="0" showInputMessage="0" showErrorMessage="0" allowBlank="1" type="list">
      <formula1>"High,Medium,Low"</formula1>
    </dataValidation>
    <dataValidation sqref="E25" showDropDown="0" showInputMessage="0" showErrorMessage="0" allowBlank="1" type="list">
      <formula1>"Open,Sourced,Asked issuer/BRLM"</formula1>
    </dataValidation>
    <dataValidation sqref="F25" showDropDown="0" showInputMessage="0" showErrorMessage="0" allowBlank="1" type="list">
      <formula1>"Closed,Closed unsatisfactorily,Ignored,-"</formula1>
    </dataValidation>
    <dataValidation sqref="B26" showDropDown="0" showInputMessage="0" showErrorMessage="0" allowBlank="1" type="list">
      <formula1>"High,Medium,Low"</formula1>
    </dataValidation>
    <dataValidation sqref="E26" showDropDown="0" showInputMessage="0" showErrorMessage="0" allowBlank="1" type="list">
      <formula1>"Open,Sourced,Asked issuer/BRLM"</formula1>
    </dataValidation>
    <dataValidation sqref="F26" showDropDown="0" showInputMessage="0" showErrorMessage="0" allowBlank="1" type="list">
      <formula1>"Closed,Closed unsatisfactorily,Ignored,-"</formula1>
    </dataValidation>
    <dataValidation sqref="B27" showDropDown="0" showInputMessage="0" showErrorMessage="0" allowBlank="1" type="list">
      <formula1>"High,Medium,Low"</formula1>
    </dataValidation>
    <dataValidation sqref="E27" showDropDown="0" showInputMessage="0" showErrorMessage="0" allowBlank="1" type="list">
      <formula1>"Open,Sourced,Asked issuer/BRLM"</formula1>
    </dataValidation>
    <dataValidation sqref="F27" showDropDown="0" showInputMessage="0" showErrorMessage="0" allowBlank="1" type="list">
      <formula1>"Closed,Closed unsatisfactorily,Ignored,-"</formula1>
    </dataValidation>
    <dataValidation sqref="B28" showDropDown="0" showInputMessage="0" showErrorMessage="0" allowBlank="1" type="list">
      <formula1>"High,Medium,Low"</formula1>
    </dataValidation>
    <dataValidation sqref="E28" showDropDown="0" showInputMessage="0" showErrorMessage="0" allowBlank="1" type="list">
      <formula1>"Open,Sourced,Asked issuer/BRLM"</formula1>
    </dataValidation>
    <dataValidation sqref="F28" showDropDown="0" showInputMessage="0" showErrorMessage="0" allowBlank="1" type="list">
      <formula1>"Closed,Closed unsatisfactorily,Ignored,-"</formula1>
    </dataValidation>
    <dataValidation sqref="B29" showDropDown="0" showInputMessage="0" showErrorMessage="0" allowBlank="1" type="list">
      <formula1>"High,Medium,Low"</formula1>
    </dataValidation>
    <dataValidation sqref="E29" showDropDown="0" showInputMessage="0" showErrorMessage="0" allowBlank="1" type="list">
      <formula1>"Open,Sourced,Asked issuer/BRLM"</formula1>
    </dataValidation>
    <dataValidation sqref="F29" showDropDown="0" showInputMessage="0" showErrorMessage="0" allowBlank="1" type="list">
      <formula1>"Closed,Closed unsatisfactorily,Ignored,-"</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C29"/>
  <sheetViews>
    <sheetView showGridLines="0" workbookViewId="0">
      <selection activeCell="A1" sqref="A1"/>
    </sheetView>
  </sheetViews>
  <sheetFormatPr baseColWidth="8" defaultRowHeight="15"/>
  <cols>
    <col width="2" customWidth="1" min="1" max="1"/>
    <col width="36" customWidth="1" min="2" max="2"/>
    <col width="90" customWidth="1" min="3" max="3"/>
  </cols>
  <sheetData>
    <row r="1" ht="24" customHeight="1">
      <c r="A1" s="1" t="inlineStr">
        <is>
          <t>Forensic scorecard and call</t>
        </is>
      </c>
    </row>
    <row r="2" ht="20" customHeight="1">
      <c r="A2" s="2" t="inlineStr">
        <is>
          <t>Parshwanath Capital Ventures Fund | SEBI Registered CAT III AIF | IN/AIF3/25-26/2108 | Fund Manager: CA Deep Dalal | Sponsor: Jignesh Shah</t>
        </is>
      </c>
    </row>
    <row r="4">
      <c r="B4" s="13">
        <f>'Basis'!$C$5&amp;"  |  "&amp;'Basis'!$C$7&amp;"  |  "&amp;'Basis'!$C$19</f>
        <v/>
      </c>
    </row>
    <row r="6">
      <c r="B6" s="15" t="inlineStr">
        <is>
          <t>Status</t>
        </is>
      </c>
      <c r="C6" s="15" t="inlineStr">
        <is>
          <t>Count</t>
        </is>
      </c>
    </row>
    <row r="7">
      <c r="B7" s="28" t="inlineStr">
        <is>
          <t>PASS</t>
        </is>
      </c>
      <c r="C7" s="12">
        <f>COUNTIF('Forensic Checks'!$E$5:$E$21,B7)</f>
        <v/>
      </c>
    </row>
    <row r="8">
      <c r="B8" s="28" t="inlineStr">
        <is>
          <t>WATCH</t>
        </is>
      </c>
      <c r="C8" s="12">
        <f>COUNTIF('Forensic Checks'!$E$5:$E$21,B8)</f>
        <v/>
      </c>
    </row>
    <row r="9">
      <c r="B9" s="28" t="inlineStr">
        <is>
          <t>FAIL</t>
        </is>
      </c>
      <c r="C9" s="12">
        <f>COUNTIF('Forensic Checks'!$E$5:$E$21,B9)</f>
        <v/>
      </c>
    </row>
    <row r="10">
      <c r="B10" s="28" t="inlineStr">
        <is>
          <t>N.A.</t>
        </is>
      </c>
      <c r="C10" s="12">
        <f>COUNTIF('Forensic Checks'!$E$5:$E$21,B10)</f>
        <v/>
      </c>
    </row>
    <row r="11">
      <c r="B11" s="28" t="inlineStr">
        <is>
          <t>OPEN</t>
        </is>
      </c>
      <c r="C11" s="12">
        <f>COUNTIF('Forensic Checks'!$E$5:$E$21,B11)</f>
        <v/>
      </c>
    </row>
    <row r="13">
      <c r="B13" s="28" t="inlineStr">
        <is>
          <t>Auto-metric WATCH flags</t>
        </is>
      </c>
      <c r="C13" s="12">
        <f>COUNTIF('Quick Metrics'!$E$1:$E$200,"WATCH")</f>
        <v/>
      </c>
    </row>
    <row r="14">
      <c r="B14" s="28" t="inlineStr">
        <is>
          <t>High-severity data gaps open</t>
        </is>
      </c>
      <c r="C14" s="12">
        <f>COUNTIFS('Data Gaps'!$B$5:$B$29,"High",'Data Gaps'!$E$5:$E$29,"Open")</f>
        <v/>
      </c>
    </row>
    <row r="15">
      <c r="B15" s="28" t="inlineStr">
        <is>
          <t>Staleness</t>
        </is>
      </c>
      <c r="C15" s="29">
        <f>'Basis'!$C$12</f>
        <v/>
      </c>
    </row>
    <row r="16">
      <c r="B16" s="28" t="inlineStr">
        <is>
          <t>Exit consistency</t>
        </is>
      </c>
      <c r="C16" s="29">
        <f>'Basis'!$C$20</f>
        <v/>
      </c>
    </row>
    <row r="18">
      <c r="B18" s="28" t="inlineStr">
        <is>
          <t>Screen outcome</t>
        </is>
      </c>
      <c r="C18" s="30">
        <f>IF(C9&gt;0,"FAIL items present - move to full DD only with explicit reasons",IF(C11&gt;0,"WATCH: "&amp;C11&amp;" checks still open - screen not complete",IF(C8+C13&gt;2,"WATCH: several watch items - full DD required","PASS to full due diligence")))</f>
        <v/>
      </c>
    </row>
    <row r="20">
      <c r="B20" s="28" t="inlineStr">
        <is>
          <t>Call (Subscribe / Avoid / Neutral)</t>
        </is>
      </c>
      <c r="C20" s="9" t="inlineStr"/>
    </row>
    <row r="22">
      <c r="B22" s="3" t="inlineStr">
        <is>
          <t>What would change our view (measurable, verifiable against the RHP)</t>
        </is>
      </c>
    </row>
    <row r="23">
      <c r="B23" s="28" t="inlineStr">
        <is>
          <t>1.</t>
        </is>
      </c>
      <c r="C23" s="7" t="inlineStr"/>
    </row>
    <row r="24">
      <c r="B24" s="28" t="inlineStr">
        <is>
          <t>2.</t>
        </is>
      </c>
      <c r="C24" s="7" t="inlineStr"/>
    </row>
    <row r="25">
      <c r="B25" s="28" t="inlineStr">
        <is>
          <t>3.</t>
        </is>
      </c>
      <c r="C25" s="7" t="inlineStr"/>
    </row>
    <row r="26">
      <c r="B26" s="28" t="inlineStr">
        <is>
          <t>4.</t>
        </is>
      </c>
      <c r="C26" s="7" t="inlineStr"/>
    </row>
    <row r="27">
      <c r="B27" s="28" t="inlineStr">
        <is>
          <t>5.</t>
        </is>
      </c>
      <c r="C27" s="7" t="inlineStr"/>
    </row>
    <row r="29">
      <c r="B29"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sheetData>
  <conditionalFormatting sqref="C15:C16">
    <cfRule type="expression" priority="1" dxfId="0">
      <formula>LEFT(C15,3)="RED"</formula>
    </cfRule>
    <cfRule type="expression" priority="2" dxfId="0">
      <formula>LEFT(C15,4)="FAIL"</formula>
    </cfRule>
    <cfRule type="expression" priority="3" dxfId="0">
      <formula>LEFT(C15,12)="INCONSISTENT"</formula>
    </cfRule>
    <cfRule type="expression" priority="4" dxfId="0">
      <formula>LEFT(C15,10)="DEGENERATE"</formula>
    </cfRule>
    <cfRule type="expression" priority="5" dxfId="1">
      <formula>LEFT(C15,5)="AMBER"</formula>
    </cfRule>
    <cfRule type="expression" priority="6" dxfId="1">
      <formula>LEFT(C15,5)="WATCH"</formula>
    </cfRule>
    <cfRule type="expression" priority="7" dxfId="2">
      <formula>LEFT(C15,2)="OK"</formula>
    </cfRule>
    <cfRule type="expression" priority="8" dxfId="2">
      <formula>LEFT(C15,4)="PASS"</formula>
    </cfRule>
  </conditionalFormatting>
  <conditionalFormatting sqref="C18">
    <cfRule type="expression" priority="9" dxfId="0">
      <formula>LEFT(C18,3)="RED"</formula>
    </cfRule>
    <cfRule type="expression" priority="10" dxfId="0">
      <formula>LEFT(C18,4)="FAIL"</formula>
    </cfRule>
    <cfRule type="expression" priority="11" dxfId="0">
      <formula>LEFT(C18,12)="INCONSISTENT"</formula>
    </cfRule>
    <cfRule type="expression" priority="12" dxfId="0">
      <formula>LEFT(C18,10)="DEGENERATE"</formula>
    </cfRule>
    <cfRule type="expression" priority="13" dxfId="1">
      <formula>LEFT(C18,5)="AMBER"</formula>
    </cfRule>
    <cfRule type="expression" priority="14" dxfId="1">
      <formula>LEFT(C18,5)="WATCH"</formula>
    </cfRule>
    <cfRule type="expression" priority="15" dxfId="2">
      <formula>LEFT(C18,2)="OK"</formula>
    </cfRule>
    <cfRule type="expression" priority="16" dxfId="2">
      <formula>LEFT(C18,4)="PASS"</formula>
    </cfRule>
  </conditionalFormatting>
  <dataValidations count="1">
    <dataValidation sqref="C20" showDropDown="0" showInputMessage="0" showErrorMessage="0" allowBlank="1" type="list">
      <formula1>"Subscribe,Avoid,Neutral"</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2026-10-23T13:48:10Z</dcterms:created>
  <dcterms:modified xsi:type="dcterms:W3CDTF">2026-10-23T13:48:10Z</dcterms:modified>
</cp:coreProperties>
</file>