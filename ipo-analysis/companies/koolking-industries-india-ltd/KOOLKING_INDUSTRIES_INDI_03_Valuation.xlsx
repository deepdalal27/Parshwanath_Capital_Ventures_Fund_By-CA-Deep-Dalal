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Assumptions" sheetId="3" state="visible" r:id="rId3"/>
    <sheet name="DCF" sheetId="4" state="visible" r:id="rId4"/>
    <sheet name="Peers" sheetId="5" state="visible" r:id="rId5"/>
    <sheet name="Relative" sheetId="6" state="visible" r:id="rId6"/>
    <sheet name="ReverseDCF" sheetId="7" state="visible" r:id="rId7"/>
    <sheet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Koolking Industries India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5.472924</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300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0.305</v>
      </c>
      <c r="D14" s="21" t="inlineStr">
        <is>
          <t>crore</t>
        </is>
      </c>
    </row>
    <row r="15">
      <c r="B15" s="19" t="inlineStr">
        <is>
          <t>Price band - floor</t>
        </is>
      </c>
      <c r="C15" s="15" t="n">
        <v>115.82</v>
      </c>
      <c r="D15" s="21" t="inlineStr">
        <is>
          <t>Rs</t>
        </is>
      </c>
    </row>
    <row r="16">
      <c r="B16" s="19" t="inlineStr">
        <is>
          <t>Price band - cap</t>
        </is>
      </c>
      <c r="C16" s="15" t="n">
        <v>115.82</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213</v>
      </c>
      <c r="D18" s="21" t="inlineStr">
        <is>
          <t>Rs cr</t>
        </is>
      </c>
    </row>
    <row r="19">
      <c r="B19" s="19" t="inlineStr">
        <is>
          <t>Offer expenses as % of fresh issue</t>
        </is>
      </c>
      <c r="C19" s="16" t="n"/>
      <c r="D19" s="21" t="inlineStr"/>
    </row>
    <row r="20">
      <c r="B20" s="19" t="inlineStr">
        <is>
          <t>GCP as % of fresh issue</t>
        </is>
      </c>
      <c r="C20" s="16" t="n"/>
      <c r="D20" s="21" t="inlineStr"/>
      <c r="E20" s="17" t="inlineStr">
        <is>
          <t>Check against regulatory cap</t>
        </is>
      </c>
    </row>
    <row r="21">
      <c r="B21" s="19" t="inlineStr">
        <is>
          <t>IPO-funded capex object</t>
        </is>
      </c>
      <c r="C21" s="15" t="n">
        <v>153</v>
      </c>
      <c r="D21" s="21" t="inlineStr">
        <is>
          <t>Rs cr</t>
        </is>
      </c>
    </row>
    <row r="22">
      <c r="B22" s="19" t="inlineStr">
        <is>
          <t>Share of IPO capex spent in Y1 (rest in Y2)</t>
        </is>
      </c>
      <c r="C22" s="16" t="n">
        <v>0</v>
      </c>
      <c r="D22" s="21" t="inlineStr"/>
    </row>
    <row r="24">
      <c r="B24" s="4" t="inlineStr">
        <is>
          <t>Latest audited year (restated) - never annualise a stub</t>
        </is>
      </c>
    </row>
    <row r="25">
      <c r="B25" s="19" t="inlineStr">
        <is>
          <t>Revenue from operations</t>
        </is>
      </c>
      <c r="C25" s="15" t="n">
        <v>526.745</v>
      </c>
      <c r="D25" s="21" t="inlineStr">
        <is>
          <t>Rs cr</t>
        </is>
      </c>
    </row>
    <row r="26">
      <c r="B26" s="19" t="inlineStr">
        <is>
          <t>Revenue - prior year</t>
        </is>
      </c>
      <c r="C26" s="15" t="n">
        <v>239.938</v>
      </c>
      <c r="D26" s="21" t="inlineStr">
        <is>
          <t>Rs cr</t>
        </is>
      </c>
    </row>
    <row r="27">
      <c r="B27" s="19" t="inlineStr">
        <is>
          <t>EBITDA (ties to issuer KPI table)</t>
        </is>
      </c>
      <c r="C27" s="15" t="n">
        <v>57.388</v>
      </c>
      <c r="D27" s="21" t="inlineStr">
        <is>
          <t>Rs cr</t>
        </is>
      </c>
    </row>
    <row r="28">
      <c r="B28" s="19" t="inlineStr">
        <is>
          <t>Depreciation &amp; amortisation</t>
        </is>
      </c>
      <c r="C28" s="15" t="n">
        <v>4.011</v>
      </c>
      <c r="D28" s="21" t="inlineStr">
        <is>
          <t>Rs cr</t>
        </is>
      </c>
    </row>
    <row r="29">
      <c r="B29" s="19" t="inlineStr">
        <is>
          <t>PAT</t>
        </is>
      </c>
      <c r="C29" s="15" t="n">
        <v>33.206</v>
      </c>
      <c r="D29" s="21" t="inlineStr">
        <is>
          <t>Rs cr</t>
        </is>
      </c>
    </row>
    <row r="30">
      <c r="B30" s="19" t="inlineStr">
        <is>
          <t>Net worth (pre-issue)</t>
        </is>
      </c>
      <c r="C30" s="15" t="n">
        <v>94.117</v>
      </c>
      <c r="D30" s="21" t="inlineStr">
        <is>
          <t>Rs cr</t>
        </is>
      </c>
    </row>
    <row r="31">
      <c r="B31" s="19" t="inlineStr">
        <is>
          <t>Net debt (borrowings - cash)</t>
        </is>
      </c>
      <c r="C31" s="15" t="n">
        <v>144.234</v>
      </c>
      <c r="D31" s="21" t="inlineStr">
        <is>
          <t>Rs cr</t>
        </is>
      </c>
    </row>
    <row r="32">
      <c r="B32" s="19" t="inlineStr">
        <is>
          <t>Net working capital</t>
        </is>
      </c>
      <c r="C32" s="15" t="n">
        <v>163.248</v>
      </c>
      <c r="D32" s="21" t="inlineStr">
        <is>
          <t>Rs cr</t>
        </is>
      </c>
      <c r="E32" s="17" t="inlineStr">
        <is>
          <t>Reconcile to Objects-chapter WC table</t>
        </is>
      </c>
    </row>
    <row r="33">
      <c r="B33" s="19" t="inlineStr">
        <is>
          <t>Net working capital - prior year</t>
        </is>
      </c>
      <c r="C33" s="15" t="n">
        <v>73.256</v>
      </c>
      <c r="D33" s="21" t="inlineStr">
        <is>
          <t>Rs cr</t>
        </is>
      </c>
    </row>
    <row r="34">
      <c r="B34" s="19" t="inlineStr">
        <is>
          <t>Capex (purchase of PPE + intangibles)</t>
        </is>
      </c>
      <c r="C34" s="15" t="n">
        <v>45.133</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0.16</v>
      </c>
      <c r="G67" s="16" t="n">
        <v>0.27</v>
      </c>
      <c r="H67" s="20" t="inlineStr">
        <is>
          <t>Revenue Rs 2,399.38 m / 4,831.42 m / 5,267.45 m FY24-FY26: +101.4% then +9.0% (p. 86; MD&amp;A p. 442). The FY26 slowdown came with higher copper and brass prices, so volume growth was lower than 9% (p. 442). The issuer's own working-capital plan takes receivables from Rs 1,061.51 m to Rs 2,200.00 m by FY29 (2.07x, about 27% a year) (pp. 167-168); CARE puts the addressable HVAC-component market at 24.46% CAGR FY26-FY30 and air-conditioner volume at 9.3% (issuer-commissioned, p. 174). Bear (no IPO-funded units) assumes growth below the FY26 rate with the top customers' demand flat; Neutral assumes the new units deliver about 60% of the issuer's plan; Bull assumes growth close to the plan (27% in Y1). The model's opening inputs use FY24 as the base revenue and the FY25-FY26 capex total (Rs 45.13 cr), so growth capex per rupee of added revenue (0.133) is measured over two years: FY26 alone (revenue +9.0%, capex Rs 32.52 cr) would imply 0.65, which is the year of the expansion spend, not of the growth it will bring. IPO capex is placed in Y2 (the issuer schedules it in FY28 and FY29, p. 134).</t>
        </is>
      </c>
    </row>
    <row r="68">
      <c r="B68" t="inlineStr">
        <is>
          <t>Revenue growth Y2</t>
        </is>
      </c>
      <c r="C68" s="23">
        <f>INDEX(E68:G68,Assumptions!$C$5)</f>
        <v/>
      </c>
      <c r="E68" s="16" t="n">
        <v>0.05</v>
      </c>
      <c r="F68" s="16" t="n">
        <v>0.16</v>
      </c>
      <c r="G68" s="16" t="n">
        <v>0.24</v>
      </c>
      <c r="H68" s="20" t="inlineStr">
        <is>
          <t>[rationale + page]</t>
        </is>
      </c>
    </row>
    <row r="69">
      <c r="B69" t="inlineStr">
        <is>
          <t>Revenue growth Y3</t>
        </is>
      </c>
      <c r="C69" s="23">
        <f>INDEX(E69:G69,Assumptions!$C$5)</f>
        <v/>
      </c>
      <c r="E69" s="16" t="n">
        <v>0.05</v>
      </c>
      <c r="F69" s="16" t="n">
        <v>0.14</v>
      </c>
      <c r="G69" s="16" t="n">
        <v>0.2</v>
      </c>
      <c r="H69" s="20" t="inlineStr">
        <is>
          <t>[rationale + page]</t>
        </is>
      </c>
    </row>
    <row r="70">
      <c r="B70" t="inlineStr">
        <is>
          <t>Revenue growth Y4</t>
        </is>
      </c>
      <c r="C70" s="23">
        <f>INDEX(E70:G70,Assumptions!$C$5)</f>
        <v/>
      </c>
      <c r="E70" s="16" t="n">
        <v>0.04</v>
      </c>
      <c r="F70" s="16" t="n">
        <v>0.12</v>
      </c>
      <c r="G70" s="16" t="n">
        <v>0.15</v>
      </c>
      <c r="H70" s="20" t="inlineStr">
        <is>
          <t>[rationale + page]</t>
        </is>
      </c>
    </row>
    <row r="71">
      <c r="B71" t="inlineStr">
        <is>
          <t>Revenue growth Y5</t>
        </is>
      </c>
      <c r="C71" s="23">
        <f>INDEX(E71:G71,Assumptions!$C$5)</f>
        <v/>
      </c>
      <c r="E71" s="16" t="n">
        <v>0.04</v>
      </c>
      <c r="F71" s="16" t="n">
        <v>0.1</v>
      </c>
      <c r="G71" s="16" t="n">
        <v>0.11</v>
      </c>
      <c r="H71" s="20" t="inlineStr">
        <is>
          <t>[rationale + page]</t>
        </is>
      </c>
    </row>
    <row r="72">
      <c r="B72" t="inlineStr">
        <is>
          <t>EBITDA margin Y1-Y5</t>
        </is>
      </c>
      <c r="C72" s="23">
        <f>INDEX(E72:G72,Assumptions!$C$5)</f>
        <v/>
      </c>
      <c r="E72" s="16" t="n">
        <v>0.075</v>
      </c>
      <c r="F72" s="16" t="n">
        <v>0.09</v>
      </c>
      <c r="G72" s="16" t="n">
        <v>0.115</v>
      </c>
      <c r="H72" s="20" t="inlineStr">
        <is>
          <t>Reported EBITDA margin 6.52% / 9.50% / 10.89% FY24-FY26, three-year average 8.97%; 12.32% in FY26 if the Rs 74.96 m foreign-exchange loss is excluded (pp. 176, 182, 444). Neutral uses the three-year average (9.0%) as the through-cycle margin, per house practice; Bear sits below it (metal-price and FX squeeze, no scale benefit from the new units); Bull is just above the FY26 reported margin, which needs the FX loss not to recur.</t>
        </is>
      </c>
    </row>
    <row r="73">
      <c r="B73" t="inlineStr">
        <is>
          <t>Net working capital % revenue</t>
        </is>
      </c>
      <c r="C73" s="23">
        <f>INDEX(E73:G73,Assumptions!$C$5)</f>
        <v/>
      </c>
      <c r="E73" s="16" t="n">
        <v>0.31</v>
      </c>
      <c r="F73" s="16" t="n">
        <v>0.2</v>
      </c>
      <c r="G73" s="16" t="n">
        <v>0.14</v>
      </c>
      <c r="H73" s="20" t="inlineStr">
        <is>
          <t>Issuer-defined working capital was 10.1% / 15.2% / 31.0% of revenue FY24-FY26, three-year average 18.8%; inventory days 51 / 50 / 116, receivable days 86 / 50 / 61 (pp. 166-167). The issuer's own plan holds about 29% of revenue to FY29 (pp. 167-168). Bear holds the FY26 intensity of 31%; Neutral uses the through-cycle 20% (three-year average rounded up for the issuer's inventory plan); Bull assumes the plan's fall to 98 inventory days is delivered and intensity returns to FY24-FY25 levels.</t>
        </is>
      </c>
    </row>
    <row r="74">
      <c r="B74" t="inlineStr">
        <is>
          <t>Terminal ROIC</t>
        </is>
      </c>
      <c r="C74" s="23">
        <f>INDEX(E74:G74,Assumptions!$C$5)</f>
        <v/>
      </c>
      <c r="E74" s="16" t="n">
        <v>0.12</v>
      </c>
      <c r="F74" s="16" t="n">
        <v>0.17</v>
      </c>
      <c r="G74" s="16" t="n">
        <v>0.22</v>
      </c>
      <c r="H74" s="20" t="inlineStr">
        <is>
          <t>Issuer-defined adjusted ROCE 23.59% / 43.53% / 32.38% FY24-FY26 (p. 176) on a base that is being tripled by the new units (project cost Rs 1,530.00 m against FY26 net fixed assets of about Rs 0.8 bn, p. 85). No listed peer's ROCE is given; terminal ROIC is set well below the issuer's own figure.</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PG Electroplast Ltd (per share)</t>
        </is>
      </c>
      <c r="C5" s="20" t="inlineStr">
        <is>
          <t>Y</t>
        </is>
      </c>
      <c r="D5" s="20" t="inlineStr">
        <is>
          <t>Appliance and AC ODM; peer named by the issuer (p. 179); per-share data from the DRHP</t>
        </is>
      </c>
      <c r="E5" s="20" t="inlineStr">
        <is>
          <t>Consolidated</t>
        </is>
      </c>
      <c r="F5" s="15" t="n">
        <v>529.15</v>
      </c>
      <c r="G5" s="15" t="n">
        <v>1</v>
      </c>
      <c r="H5" s="15" t="n"/>
      <c r="I5" s="15" t="n"/>
      <c r="J5" s="15" t="n"/>
      <c r="K5" s="15" t="n">
        <v>6.91</v>
      </c>
      <c r="L5" s="15" t="n">
        <v>106.83</v>
      </c>
      <c r="M5" s="16" t="n"/>
      <c r="N5" s="13">
        <f>IF(F5="","",F5*G5)</f>
        <v/>
      </c>
      <c r="O5" s="13">
        <f>IF(N5="","",N5+H5)</f>
        <v/>
      </c>
      <c r="P5" s="27">
        <f>IF(AND(C5="Y",N(K5)&gt;0),N5/K5,"")</f>
        <v/>
      </c>
      <c r="Q5" s="27">
        <f>IF(AND(C5="Y",N(J5)&gt;0),O5/J5,"")</f>
        <v/>
      </c>
      <c r="R5" s="27">
        <f>IF(AND(C5="Y",N(L5)&gt;0),N5/L5,"")</f>
        <v/>
      </c>
      <c r="S5" s="10">
        <f>IF(N(I5)&gt;0,J5/I5,"")</f>
        <v/>
      </c>
      <c r="T5" s="10">
        <f>IF(N(L5)&gt;0,K5/L5,"")</f>
        <v/>
      </c>
    </row>
    <row r="6">
      <c r="B6" s="20" t="inlineStr">
        <is>
          <t>Amber Enterprises India Ltd (per share)</t>
        </is>
      </c>
      <c r="C6" s="20" t="inlineStr">
        <is>
          <t>Y</t>
        </is>
      </c>
      <c r="D6" s="20" t="inlineStr">
        <is>
          <t>AC ODM; also the issuer's largest customer (28.79%); per-share data from the DRHP</t>
        </is>
      </c>
      <c r="E6" s="20" t="inlineStr">
        <is>
          <t>Consolidated</t>
        </is>
      </c>
      <c r="F6" s="15" t="n">
        <v>7125</v>
      </c>
      <c r="G6" s="15" t="n">
        <v>1</v>
      </c>
      <c r="H6" s="15" t="n"/>
      <c r="I6" s="15" t="n"/>
      <c r="J6" s="15" t="n"/>
      <c r="K6" s="15" t="n">
        <v>50.48</v>
      </c>
      <c r="L6" s="15" t="n">
        <v>1238.6</v>
      </c>
      <c r="M6" s="16" t="n"/>
      <c r="N6" s="13">
        <f>IF(F6="","",F6*G6)</f>
        <v/>
      </c>
      <c r="O6" s="13">
        <f>IF(N6="","",N6+H6)</f>
        <v/>
      </c>
      <c r="P6" s="27">
        <f>IF(AND(C6="Y",N(K6)&gt;0),N6/K6,"")</f>
        <v/>
      </c>
      <c r="Q6" s="27">
        <f>IF(AND(C6="Y",N(J6)&gt;0),O6/J6,"")</f>
        <v/>
      </c>
      <c r="R6" s="27">
        <f>IF(AND(C6="Y",N(L6)&gt;0),N6/L6,"")</f>
        <v/>
      </c>
      <c r="S6" s="10">
        <f>IF(N(I6)&gt;0,J6/I6,"")</f>
        <v/>
      </c>
      <c r="T6" s="10">
        <f>IF(N(L6)&gt;0,K6/L6,"")</f>
        <v/>
      </c>
    </row>
    <row r="7">
      <c r="B7" s="20" t="inlineStr">
        <is>
          <t>KRN Heat Exchanger &amp; Refrigeration Ltd (per share)</t>
        </is>
      </c>
      <c r="C7" s="20" t="inlineStr">
        <is>
          <t>Y</t>
        </is>
      </c>
      <c r="D7" s="20" t="inlineStr">
        <is>
          <t>Heat exchangers and HVAC components, the closest business; also a named customer</t>
        </is>
      </c>
      <c r="E7" s="20" t="inlineStr">
        <is>
          <t>Consolidated</t>
        </is>
      </c>
      <c r="F7" s="15" t="n">
        <v>1446.2</v>
      </c>
      <c r="G7" s="15" t="n">
        <v>1</v>
      </c>
      <c r="H7" s="15" t="n"/>
      <c r="I7" s="15" t="n"/>
      <c r="J7" s="15" t="n"/>
      <c r="K7" s="15" t="n">
        <v>12.3</v>
      </c>
      <c r="L7" s="15" t="n">
        <v>92.34999999999999</v>
      </c>
      <c r="M7" s="16" t="n"/>
      <c r="N7" s="13">
        <f>IF(F7="","",F7*G7)</f>
        <v/>
      </c>
      <c r="O7" s="13">
        <f>IF(N7="","",N7+H7)</f>
        <v/>
      </c>
      <c r="P7" s="27">
        <f>IF(AND(C7="Y",N(K7)&gt;0),N7/K7,"")</f>
        <v/>
      </c>
      <c r="Q7" s="27">
        <f>IF(AND(C7="Y",N(J7)&gt;0),O7/J7,"")</f>
        <v/>
      </c>
      <c r="R7" s="27">
        <f>IF(AND(C7="Y",N(L7)&gt;0),N7/L7,"")</f>
        <v/>
      </c>
      <c r="S7" s="10">
        <f>IF(N(I7)&gt;0,J7/I7,"")</f>
        <v/>
      </c>
      <c r="T7" s="10">
        <f>IF(N(L7)&gt;0,K7/L7,"")</f>
        <v/>
      </c>
    </row>
    <row r="8">
      <c r="B8" s="20" t="inlineStr">
        <is>
          <t>Elin Electronics Ltd (per share)</t>
        </is>
      </c>
      <c r="C8" s="20" t="inlineStr">
        <is>
          <t>Y</t>
        </is>
      </c>
      <c r="D8" s="20" t="inlineStr">
        <is>
          <t>Electronics ODM, not HVAC; the lowest P/E in the set</t>
        </is>
      </c>
      <c r="E8" s="20" t="inlineStr">
        <is>
          <t>Consolidated</t>
        </is>
      </c>
      <c r="F8" s="15" t="n">
        <v>88.53</v>
      </c>
      <c r="G8" s="15" t="n">
        <v>1</v>
      </c>
      <c r="H8" s="15" t="n"/>
      <c r="I8" s="15" t="n"/>
      <c r="J8" s="15" t="n"/>
      <c r="K8" s="15" t="n">
        <v>4.64</v>
      </c>
      <c r="L8" s="15" t="n">
        <v>109.79</v>
      </c>
      <c r="M8" s="16" t="n"/>
      <c r="N8" s="13">
        <f>IF(F8="","",F8*G8)</f>
        <v/>
      </c>
      <c r="O8" s="13">
        <f>IF(N8="","",N8+H8)</f>
        <v/>
      </c>
      <c r="P8" s="27">
        <f>IF(AND(C8="Y",N(K8)&gt;0),N8/K8,"")</f>
        <v/>
      </c>
      <c r="Q8" s="27">
        <f>IF(AND(C8="Y",N(J8)&gt;0),O8/J8,"")</f>
        <v/>
      </c>
      <c r="R8" s="27">
        <f>IF(AND(C8="Y",N(L8)&gt;0),N8/L8,"")</f>
        <v/>
      </c>
      <c r="S8" s="10">
        <f>IF(N(I8)&gt;0,J8/I8,"")</f>
        <v/>
      </c>
      <c r="T8" s="10">
        <f>IF(N(L8)&gt;0,K8/L8,"")</f>
        <v/>
      </c>
    </row>
    <row r="9">
      <c r="B9" s="20" t="inlineStr">
        <is>
          <t>EPack Durables Ltd (per share)</t>
        </is>
      </c>
      <c r="C9" s="20" t="inlineStr">
        <is>
          <t>N</t>
        </is>
      </c>
      <c r="D9" s="20" t="inlineStr">
        <is>
          <t>AC maker; EPS Rs 0.34 gives a P/E of 526x, not meaningful</t>
        </is>
      </c>
      <c r="E9" s="20" t="inlineStr">
        <is>
          <t>Consolidated</t>
        </is>
      </c>
      <c r="F9" s="15" t="n">
        <v>178.84</v>
      </c>
      <c r="G9" s="15" t="n">
        <v>1</v>
      </c>
      <c r="H9" s="15" t="n"/>
      <c r="I9" s="15" t="n"/>
      <c r="J9" s="15" t="n"/>
      <c r="K9" s="15" t="n">
        <v>0.34</v>
      </c>
      <c r="L9" s="15" t="n">
        <v>99.8</v>
      </c>
      <c r="M9" s="16" t="n"/>
      <c r="N9" s="13">
        <f>IF(F9="","",F9*G9)</f>
        <v/>
      </c>
      <c r="O9" s="13">
        <f>IF(N9="","",N9+H9)</f>
        <v/>
      </c>
      <c r="P9" s="27">
        <f>IF(AND(C9="Y",N(K9)&gt;0),N9/K9,"")</f>
        <v/>
      </c>
      <c r="Q9" s="27">
        <f>IF(AND(C9="Y",N(J9)&gt;0),O9/J9,"")</f>
        <v/>
      </c>
      <c r="R9" s="27">
        <f>IF(AND(C9="Y",N(L9)&gt;0),N9/L9,"")</f>
        <v/>
      </c>
      <c r="S9" s="10">
        <f>IF(N(I9)&gt;0,J9/I9,"")</f>
        <v/>
      </c>
      <c r="T9" s="10">
        <f>IF(N(L9)&gt;0,K9/L9,"")</f>
        <v/>
      </c>
    </row>
    <row r="10">
      <c r="B10" s="20" t="inlineStr">
        <is>
          <t>Centum Electronics Ltd (per share)</t>
        </is>
      </c>
      <c r="C10" s="20" t="inlineStr">
        <is>
          <t>N</t>
        </is>
      </c>
      <c r="D10" s="20" t="inlineStr">
        <is>
          <t>Defence electronics; loss-making (EPS -31.62)</t>
        </is>
      </c>
      <c r="E10" s="20" t="inlineStr">
        <is>
          <t>Consolidated</t>
        </is>
      </c>
      <c r="F10" s="15" t="n">
        <v>4333.3</v>
      </c>
      <c r="G10" s="15" t="n">
        <v>1</v>
      </c>
      <c r="H10" s="15" t="n"/>
      <c r="I10" s="15" t="n"/>
      <c r="J10" s="15" t="n"/>
      <c r="K10" s="15" t="n">
        <v>-31.62</v>
      </c>
      <c r="L10" s="15" t="n">
        <v>233.47</v>
      </c>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2026-10-22T13:46:01Z</dcterms:created>
  <dcterms:modified xsi:type="dcterms:W3CDTF">2026-10-22T13:46:01Z</dcterms:modified>
</cp:coreProperties>
</file>