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Summary" sheetId="2" state="visible" r:id="rId2"/>
    <sheet name="Assumptions" sheetId="3" state="visible" r:id="rId3"/>
    <sheet name="DCF" sheetId="4" state="visible" r:id="rId4"/>
    <sheet name="Peers" sheetId="5" state="visible" r:id="rId5"/>
    <sheet name="Relative" sheetId="6" state="visible" r:id="rId6"/>
    <sheet name="ReverseDCF" sheetId="7" state="visible" r:id="rId7"/>
    <sheet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_rels/drawing8.xml.rels><Relationships xmlns="http://schemas.openxmlformats.org/package/2006/relationships"><Relationship Type="http://schemas.openxmlformats.org/officeDocument/2006/relationships/image" Target="/xl/media/image8.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51435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_rels/sheet8.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Koolking Industries India Limited</t>
        </is>
      </c>
      <c r="D8" s="21" t="inlineStr"/>
    </row>
    <row r="9">
      <c r="B9" s="19" t="inlineStr">
        <is>
          <t>Financial basis</t>
        </is>
      </c>
      <c r="C9" s="20" t="inlineStr">
        <is>
          <t>Standalone</t>
        </is>
      </c>
      <c r="D9" s="21" t="inlineStr"/>
      <c r="E9" s="17" t="inlineStr">
        <is>
          <t>Use the same basis for every peer</t>
        </is>
      </c>
    </row>
    <row r="10">
      <c r="B10" s="19" t="inlineStr">
        <is>
          <t>Pre-issue shares, fully diluted (post any bonus)</t>
        </is>
      </c>
      <c r="C10" s="15" t="n">
        <v>5.472924</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300</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v>0.305</v>
      </c>
      <c r="D14" s="21" t="inlineStr">
        <is>
          <t>crore</t>
        </is>
      </c>
    </row>
    <row r="15">
      <c r="B15" s="19" t="inlineStr">
        <is>
          <t>Price band - floor</t>
        </is>
      </c>
      <c r="C15" s="15" t="n">
        <v>115.82</v>
      </c>
      <c r="D15" s="21" t="inlineStr">
        <is>
          <t>Rs</t>
        </is>
      </c>
    </row>
    <row r="16">
      <c r="B16" s="19" t="inlineStr">
        <is>
          <t>Price band - cap</t>
        </is>
      </c>
      <c r="C16" s="15" t="n">
        <v>115.82</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213</v>
      </c>
      <c r="D18" s="21" t="inlineStr">
        <is>
          <t>Rs cr</t>
        </is>
      </c>
    </row>
    <row r="19">
      <c r="B19" s="19" t="inlineStr">
        <is>
          <t>Offer expenses as % of fresh issue</t>
        </is>
      </c>
      <c r="C19" s="16" t="n"/>
      <c r="D19" s="21" t="inlineStr"/>
    </row>
    <row r="20">
      <c r="B20" s="19" t="inlineStr">
        <is>
          <t>GCP as % of fresh issue</t>
        </is>
      </c>
      <c r="C20" s="16" t="n"/>
      <c r="D20" s="21" t="inlineStr"/>
      <c r="E20" s="17" t="inlineStr">
        <is>
          <t>Check against regulatory cap</t>
        </is>
      </c>
    </row>
    <row r="21">
      <c r="B21" s="19" t="inlineStr">
        <is>
          <t>IPO-funded capex object</t>
        </is>
      </c>
      <c r="C21" s="15" t="n">
        <v>153</v>
      </c>
      <c r="D21" s="21" t="inlineStr">
        <is>
          <t>Rs cr</t>
        </is>
      </c>
    </row>
    <row r="22">
      <c r="B22" s="19" t="inlineStr">
        <is>
          <t>Share of IPO capex spent in Y1 (rest in Y2)</t>
        </is>
      </c>
      <c r="C22" s="16" t="n">
        <v>0</v>
      </c>
      <c r="D22" s="21" t="inlineStr"/>
    </row>
    <row r="24">
      <c r="B24" s="4" t="inlineStr">
        <is>
          <t>Latest audited year (restated) - never annualise a stub</t>
        </is>
      </c>
    </row>
    <row r="25">
      <c r="B25" s="19" t="inlineStr">
        <is>
          <t>Revenue from operations</t>
        </is>
      </c>
      <c r="C25" s="15" t="n">
        <v>526.745</v>
      </c>
      <c r="D25" s="21" t="inlineStr">
        <is>
          <t>Rs cr</t>
        </is>
      </c>
    </row>
    <row r="26">
      <c r="B26" s="19" t="inlineStr">
        <is>
          <t>Revenue - prior year</t>
        </is>
      </c>
      <c r="C26" s="15" t="n">
        <v>239.938</v>
      </c>
      <c r="D26" s="21" t="inlineStr">
        <is>
          <t>Rs cr</t>
        </is>
      </c>
    </row>
    <row r="27">
      <c r="B27" s="19" t="inlineStr">
        <is>
          <t>EBITDA (ties to issuer KPI table)</t>
        </is>
      </c>
      <c r="C27" s="15" t="n">
        <v>57.388</v>
      </c>
      <c r="D27" s="21" t="inlineStr">
        <is>
          <t>Rs cr</t>
        </is>
      </c>
    </row>
    <row r="28">
      <c r="B28" s="19" t="inlineStr">
        <is>
          <t>Depreciation &amp; amortisation</t>
        </is>
      </c>
      <c r="C28" s="15" t="n">
        <v>4.011</v>
      </c>
      <c r="D28" s="21" t="inlineStr">
        <is>
          <t>Rs cr</t>
        </is>
      </c>
    </row>
    <row r="29">
      <c r="B29" s="19" t="inlineStr">
        <is>
          <t>PAT</t>
        </is>
      </c>
      <c r="C29" s="15" t="n">
        <v>33.206</v>
      </c>
      <c r="D29" s="21" t="inlineStr">
        <is>
          <t>Rs cr</t>
        </is>
      </c>
    </row>
    <row r="30">
      <c r="B30" s="19" t="inlineStr">
        <is>
          <t>Net worth (pre-issue)</t>
        </is>
      </c>
      <c r="C30" s="15" t="n">
        <v>94.117</v>
      </c>
      <c r="D30" s="21" t="inlineStr">
        <is>
          <t>Rs cr</t>
        </is>
      </c>
    </row>
    <row r="31">
      <c r="B31" s="19" t="inlineStr">
        <is>
          <t>Net debt (borrowings - cash)</t>
        </is>
      </c>
      <c r="C31" s="15" t="n">
        <v>144.234</v>
      </c>
      <c r="D31" s="21" t="inlineStr">
        <is>
          <t>Rs cr</t>
        </is>
      </c>
    </row>
    <row r="32">
      <c r="B32" s="19" t="inlineStr">
        <is>
          <t>Net working capital</t>
        </is>
      </c>
      <c r="C32" s="15" t="n">
        <v>163.248</v>
      </c>
      <c r="D32" s="21" t="inlineStr">
        <is>
          <t>Rs cr</t>
        </is>
      </c>
      <c r="E32" s="17" t="inlineStr">
        <is>
          <t>Reconcile to Objects-chapter WC table</t>
        </is>
      </c>
    </row>
    <row r="33">
      <c r="B33" s="19" t="inlineStr">
        <is>
          <t>Net working capital - prior year</t>
        </is>
      </c>
      <c r="C33" s="15" t="n">
        <v>73.256</v>
      </c>
      <c r="D33" s="21" t="inlineStr">
        <is>
          <t>Rs cr</t>
        </is>
      </c>
    </row>
    <row r="34">
      <c r="B34" s="19" t="inlineStr">
        <is>
          <t>Capex (purchase of PPE + intangibles)</t>
        </is>
      </c>
      <c r="C34" s="15" t="n">
        <v>45.133</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0.03</v>
      </c>
      <c r="D42" s="21" t="inlineStr"/>
    </row>
    <row r="43">
      <c r="B43" s="19" t="inlineStr">
        <is>
          <t>Pre-tax cost of debt</t>
        </is>
      </c>
      <c r="C43" s="16" t="n">
        <v>0.1</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0.8</v>
      </c>
      <c r="D48" s="21" t="inlineStr"/>
      <c r="E48" s="17" t="inlineStr">
        <is>
          <t>80% where no comparable listed peers</t>
        </is>
      </c>
    </row>
    <row r="49">
      <c r="B49" s="19" t="inlineStr">
        <is>
          <t>Relative weight - P/E</t>
        </is>
      </c>
      <c r="C49" s="16" t="n">
        <v>1</v>
      </c>
      <c r="D49" s="21" t="inlineStr"/>
    </row>
    <row r="50">
      <c r="B50" s="19" t="inlineStr">
        <is>
          <t>Relative weight - EV/EBITDA</t>
        </is>
      </c>
      <c r="C50" s="16" t="n">
        <v>0</v>
      </c>
      <c r="D50" s="21" t="inlineStr"/>
    </row>
    <row r="51">
      <c r="B51" s="19" t="inlineStr">
        <is>
          <t>Relative weight - P/B</t>
        </is>
      </c>
      <c r="C51" s="16" t="n">
        <v>0</v>
      </c>
      <c r="D51" s="21" t="inlineStr"/>
    </row>
    <row r="52">
      <c r="B52" s="19" t="inlineStr">
        <is>
          <t>Discount to peer median</t>
        </is>
      </c>
      <c r="C52" s="16" t="n">
        <v>0.5</v>
      </c>
      <c r="D52" s="21" t="inlineStr"/>
      <c r="E52" s="17" t="inlineStr">
        <is>
          <t>Size, liquidity,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0.05</v>
      </c>
      <c r="F67" s="16" t="n">
        <v>0.16</v>
      </c>
      <c r="G67" s="16" t="n">
        <v>0.27</v>
      </c>
      <c r="H67" s="20" t="inlineStr">
        <is>
          <t>Revenue Rs 2,399.38 m / 4,831.42 m / 5,267.45 m FY24-FY26: +101.4% then +9.0% (p. 86; MD&amp;A p. 442). The FY26 slowdown came with higher copper and brass prices, so volume growth was lower than 9% (p. 442). The issuer's own working-capital plan takes receivables from Rs 1,061.51 m to Rs 2,200.00 m by FY29 (2.07x, about 27% a year) (pp. 167-168); CARE puts the addressable HVAC-component market at 24.46% CAGR FY26-FY30 and air-conditioner volume at 9.3% (issuer-commissioned, p. 174). Bear (no IPO-funded units) assumes growth below the FY26 rate with the top customers' demand flat; Neutral assumes the new units deliver about 60% of the issuer's plan; Bull assumes growth close to the plan (27% in Y1). The model's opening inputs use FY24 as the base revenue and the FY25-FY26 capex total (Rs 45.13 cr), so growth capex per rupee of added revenue (0.133) is measured over two years: FY26 alone (revenue +9.0%, capex Rs 32.52 cr) would imply 0.65, which is the year of the expansion spend, not of the growth it will bring. IPO capex is placed in Y2 (the issuer schedules it in FY28 and FY29, p. 134).</t>
        </is>
      </c>
    </row>
    <row r="68">
      <c r="B68" t="inlineStr">
        <is>
          <t>Revenue growth Y2</t>
        </is>
      </c>
      <c r="C68" s="23">
        <f>INDEX(E68:G68,Assumptions!$C$5)</f>
        <v/>
      </c>
      <c r="E68" s="16" t="n">
        <v>0.05</v>
      </c>
      <c r="F68" s="16" t="n">
        <v>0.16</v>
      </c>
      <c r="G68" s="16" t="n">
        <v>0.24</v>
      </c>
      <c r="H68" s="20" t="inlineStr">
        <is>
          <t>[rationale + page]</t>
        </is>
      </c>
    </row>
    <row r="69">
      <c r="B69" t="inlineStr">
        <is>
          <t>Revenue growth Y3</t>
        </is>
      </c>
      <c r="C69" s="23">
        <f>INDEX(E69:G69,Assumptions!$C$5)</f>
        <v/>
      </c>
      <c r="E69" s="16" t="n">
        <v>0.05</v>
      </c>
      <c r="F69" s="16" t="n">
        <v>0.14</v>
      </c>
      <c r="G69" s="16" t="n">
        <v>0.2</v>
      </c>
      <c r="H69" s="20" t="inlineStr">
        <is>
          <t>[rationale + page]</t>
        </is>
      </c>
    </row>
    <row r="70">
      <c r="B70" t="inlineStr">
        <is>
          <t>Revenue growth Y4</t>
        </is>
      </c>
      <c r="C70" s="23">
        <f>INDEX(E70:G70,Assumptions!$C$5)</f>
        <v/>
      </c>
      <c r="E70" s="16" t="n">
        <v>0.04</v>
      </c>
      <c r="F70" s="16" t="n">
        <v>0.12</v>
      </c>
      <c r="G70" s="16" t="n">
        <v>0.15</v>
      </c>
      <c r="H70" s="20" t="inlineStr">
        <is>
          <t>[rationale + page]</t>
        </is>
      </c>
    </row>
    <row r="71">
      <c r="B71" t="inlineStr">
        <is>
          <t>Revenue growth Y5</t>
        </is>
      </c>
      <c r="C71" s="23">
        <f>INDEX(E71:G71,Assumptions!$C$5)</f>
        <v/>
      </c>
      <c r="E71" s="16" t="n">
        <v>0.04</v>
      </c>
      <c r="F71" s="16" t="n">
        <v>0.1</v>
      </c>
      <c r="G71" s="16" t="n">
        <v>0.11</v>
      </c>
      <c r="H71" s="20" t="inlineStr">
        <is>
          <t>[rationale + page]</t>
        </is>
      </c>
    </row>
    <row r="72">
      <c r="B72" t="inlineStr">
        <is>
          <t>EBITDA margin Y1-Y5</t>
        </is>
      </c>
      <c r="C72" s="23">
        <f>INDEX(E72:G72,Assumptions!$C$5)</f>
        <v/>
      </c>
      <c r="E72" s="16" t="n">
        <v>0.095</v>
      </c>
      <c r="F72" s="16" t="n">
        <v>0.115</v>
      </c>
      <c r="G72" s="16" t="n">
        <v>0.13</v>
      </c>
      <c r="H72" s="20" t="inlineStr">
        <is>
          <t>Reported EBITDA margin 6.52% / 9.50% / 10.89% FY24-FY26; 12.32% adjusted for foreign exchange (pp. 176, 182). FY26 other expenses include a Rs 74.96 m foreign-exchange loss on unhedged imports (p. 444). Gross margin 25.85% / 25.34% / 28.91%. Bear sits below the FY26 reported margin (metal price and FX squeeze); Neutral sits between reported and adjusted (the FX loss recurs in part); Bull is just above the FY26 adjusted margin.</t>
        </is>
      </c>
    </row>
    <row r="73">
      <c r="B73" t="inlineStr">
        <is>
          <t>Net working capital % revenue</t>
        </is>
      </c>
      <c r="C73" s="23">
        <f>INDEX(E73:G73,Assumptions!$C$5)</f>
        <v/>
      </c>
      <c r="E73" s="16" t="n">
        <v>0.31</v>
      </c>
      <c r="F73" s="16" t="n">
        <v>0.27</v>
      </c>
      <c r="G73" s="16" t="n">
        <v>0.23</v>
      </c>
      <c r="H73" s="20" t="inlineStr">
        <is>
          <t>Issuer-defined working capital (inventory + receivables + other current assets less payables and other current liabilities) was Rs 242.68 m / 732.56 m / 1,632.48 m = 10.1% / 15.2% / 31.0% of revenue FY24-FY26 (p. 166). Inventory days 51 / 50 / 116; receivable days 86 / 50 / 61 (p. 167). The issuer plans 121 / 107 / 98 inventory days for FY27-FY29 (p. 168). Bear holds the FY26 intensity; Neutral assumes part of the inventory days fall (the plan itself holds about 29% of revenue); Bull assumes the plan's fall to 98 days is fully delivered.</t>
        </is>
      </c>
    </row>
    <row r="74">
      <c r="B74" t="inlineStr">
        <is>
          <t>Terminal ROIC</t>
        </is>
      </c>
      <c r="C74" s="23">
        <f>INDEX(E74:G74,Assumptions!$C$5)</f>
        <v/>
      </c>
      <c r="E74" s="16" t="n">
        <v>0.12</v>
      </c>
      <c r="F74" s="16" t="n">
        <v>0.17</v>
      </c>
      <c r="G74" s="16" t="n">
        <v>0.22</v>
      </c>
      <c r="H74" s="20" t="inlineStr">
        <is>
          <t>Issuer-defined adjusted ROCE 23.59% / 43.53% / 32.38% FY24-FY26 (p. 176) on a base that is being tripled by the new units (project cost Rs 1,530.00 m against FY26 net fixed assets of about Rs 0.8 bn, p. 85). No listed peer's ROCE is given; terminal ROIC is set well below the issuer's own figure.</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PG Electroplast Ltd (per share)</t>
        </is>
      </c>
      <c r="C5" s="20" t="inlineStr">
        <is>
          <t>Y</t>
        </is>
      </c>
      <c r="D5" s="20" t="inlineStr">
        <is>
          <t>Appliance and AC ODM; peer named by the issuer (p. 179); per-share data from the DRHP</t>
        </is>
      </c>
      <c r="E5" s="20" t="inlineStr">
        <is>
          <t>Consolidated</t>
        </is>
      </c>
      <c r="F5" s="15" t="n">
        <v>529.15</v>
      </c>
      <c r="G5" s="15" t="n">
        <v>1</v>
      </c>
      <c r="H5" s="15" t="n"/>
      <c r="I5" s="15" t="n"/>
      <c r="J5" s="15" t="n"/>
      <c r="K5" s="15" t="n">
        <v>6.91</v>
      </c>
      <c r="L5" s="15" t="n">
        <v>106.83</v>
      </c>
      <c r="M5" s="16" t="n"/>
      <c r="N5" s="13">
        <f>IF(F5="","",F5*G5)</f>
        <v/>
      </c>
      <c r="O5" s="13">
        <f>IF(N5="","",N5+H5)</f>
        <v/>
      </c>
      <c r="P5" s="27">
        <f>IF(AND(C5="Y",N(K5)&gt;0),N5/K5,"")</f>
        <v/>
      </c>
      <c r="Q5" s="27">
        <f>IF(AND(C5="Y",N(J5)&gt;0),O5/J5,"")</f>
        <v/>
      </c>
      <c r="R5" s="27">
        <f>IF(AND(C5="Y",N(L5)&gt;0),N5/L5,"")</f>
        <v/>
      </c>
      <c r="S5" s="10">
        <f>IF(N(I5)&gt;0,J5/I5,"")</f>
        <v/>
      </c>
      <c r="T5" s="10">
        <f>IF(N(L5)&gt;0,K5/L5,"")</f>
        <v/>
      </c>
    </row>
    <row r="6">
      <c r="B6" s="20" t="inlineStr">
        <is>
          <t>Amber Enterprises India Ltd (per share)</t>
        </is>
      </c>
      <c r="C6" s="20" t="inlineStr">
        <is>
          <t>Y</t>
        </is>
      </c>
      <c r="D6" s="20" t="inlineStr">
        <is>
          <t>AC ODM; also the issuer's largest customer (28.79%); per-share data from the DRHP</t>
        </is>
      </c>
      <c r="E6" s="20" t="inlineStr">
        <is>
          <t>Consolidated</t>
        </is>
      </c>
      <c r="F6" s="15" t="n">
        <v>7125</v>
      </c>
      <c r="G6" s="15" t="n">
        <v>1</v>
      </c>
      <c r="H6" s="15" t="n"/>
      <c r="I6" s="15" t="n"/>
      <c r="J6" s="15" t="n"/>
      <c r="K6" s="15" t="n">
        <v>50.48</v>
      </c>
      <c r="L6" s="15" t="n">
        <v>1238.6</v>
      </c>
      <c r="M6" s="16" t="n"/>
      <c r="N6" s="13">
        <f>IF(F6="","",F6*G6)</f>
        <v/>
      </c>
      <c r="O6" s="13">
        <f>IF(N6="","",N6+H6)</f>
        <v/>
      </c>
      <c r="P6" s="27">
        <f>IF(AND(C6="Y",N(K6)&gt;0),N6/K6,"")</f>
        <v/>
      </c>
      <c r="Q6" s="27">
        <f>IF(AND(C6="Y",N(J6)&gt;0),O6/J6,"")</f>
        <v/>
      </c>
      <c r="R6" s="27">
        <f>IF(AND(C6="Y",N(L6)&gt;0),N6/L6,"")</f>
        <v/>
      </c>
      <c r="S6" s="10">
        <f>IF(N(I6)&gt;0,J6/I6,"")</f>
        <v/>
      </c>
      <c r="T6" s="10">
        <f>IF(N(L6)&gt;0,K6/L6,"")</f>
        <v/>
      </c>
    </row>
    <row r="7">
      <c r="B7" s="20" t="inlineStr">
        <is>
          <t>KRN Heat Exchanger &amp; Refrigeration Ltd (per share)</t>
        </is>
      </c>
      <c r="C7" s="20" t="inlineStr">
        <is>
          <t>Y</t>
        </is>
      </c>
      <c r="D7" s="20" t="inlineStr">
        <is>
          <t>Heat exchangers and HVAC components, the closest business; also a named customer</t>
        </is>
      </c>
      <c r="E7" s="20" t="inlineStr">
        <is>
          <t>Consolidated</t>
        </is>
      </c>
      <c r="F7" s="15" t="n">
        <v>1446.2</v>
      </c>
      <c r="G7" s="15" t="n">
        <v>1</v>
      </c>
      <c r="H7" s="15" t="n"/>
      <c r="I7" s="15" t="n"/>
      <c r="J7" s="15" t="n"/>
      <c r="K7" s="15" t="n">
        <v>12.3</v>
      </c>
      <c r="L7" s="15" t="n">
        <v>92.34999999999999</v>
      </c>
      <c r="M7" s="16" t="n"/>
      <c r="N7" s="13">
        <f>IF(F7="","",F7*G7)</f>
        <v/>
      </c>
      <c r="O7" s="13">
        <f>IF(N7="","",N7+H7)</f>
        <v/>
      </c>
      <c r="P7" s="27">
        <f>IF(AND(C7="Y",N(K7)&gt;0),N7/K7,"")</f>
        <v/>
      </c>
      <c r="Q7" s="27">
        <f>IF(AND(C7="Y",N(J7)&gt;0),O7/J7,"")</f>
        <v/>
      </c>
      <c r="R7" s="27">
        <f>IF(AND(C7="Y",N(L7)&gt;0),N7/L7,"")</f>
        <v/>
      </c>
      <c r="S7" s="10">
        <f>IF(N(I7)&gt;0,J7/I7,"")</f>
        <v/>
      </c>
      <c r="T7" s="10">
        <f>IF(N(L7)&gt;0,K7/L7,"")</f>
        <v/>
      </c>
    </row>
    <row r="8">
      <c r="B8" s="20" t="inlineStr">
        <is>
          <t>Elin Electronics Ltd (per share)</t>
        </is>
      </c>
      <c r="C8" s="20" t="inlineStr">
        <is>
          <t>Y</t>
        </is>
      </c>
      <c r="D8" s="20" t="inlineStr">
        <is>
          <t>Electronics ODM, not HVAC; the lowest P/E in the set</t>
        </is>
      </c>
      <c r="E8" s="20" t="inlineStr">
        <is>
          <t>Consolidated</t>
        </is>
      </c>
      <c r="F8" s="15" t="n">
        <v>88.53</v>
      </c>
      <c r="G8" s="15" t="n">
        <v>1</v>
      </c>
      <c r="H8" s="15" t="n"/>
      <c r="I8" s="15" t="n"/>
      <c r="J8" s="15" t="n"/>
      <c r="K8" s="15" t="n">
        <v>4.64</v>
      </c>
      <c r="L8" s="15" t="n">
        <v>109.79</v>
      </c>
      <c r="M8" s="16" t="n"/>
      <c r="N8" s="13">
        <f>IF(F8="","",F8*G8)</f>
        <v/>
      </c>
      <c r="O8" s="13">
        <f>IF(N8="","",N8+H8)</f>
        <v/>
      </c>
      <c r="P8" s="27">
        <f>IF(AND(C8="Y",N(K8)&gt;0),N8/K8,"")</f>
        <v/>
      </c>
      <c r="Q8" s="27">
        <f>IF(AND(C8="Y",N(J8)&gt;0),O8/J8,"")</f>
        <v/>
      </c>
      <c r="R8" s="27">
        <f>IF(AND(C8="Y",N(L8)&gt;0),N8/L8,"")</f>
        <v/>
      </c>
      <c r="S8" s="10">
        <f>IF(N(I8)&gt;0,J8/I8,"")</f>
        <v/>
      </c>
      <c r="T8" s="10">
        <f>IF(N(L8)&gt;0,K8/L8,"")</f>
        <v/>
      </c>
    </row>
    <row r="9">
      <c r="B9" s="20" t="inlineStr">
        <is>
          <t>EPack Durables Ltd (per share)</t>
        </is>
      </c>
      <c r="C9" s="20" t="inlineStr">
        <is>
          <t>N</t>
        </is>
      </c>
      <c r="D9" s="20" t="inlineStr">
        <is>
          <t>AC maker; EPS Rs 0.34 gives a P/E of 526x, not meaningful</t>
        </is>
      </c>
      <c r="E9" s="20" t="inlineStr">
        <is>
          <t>Consolidated</t>
        </is>
      </c>
      <c r="F9" s="15" t="n">
        <v>178.84</v>
      </c>
      <c r="G9" s="15" t="n">
        <v>1</v>
      </c>
      <c r="H9" s="15" t="n"/>
      <c r="I9" s="15" t="n"/>
      <c r="J9" s="15" t="n"/>
      <c r="K9" s="15" t="n">
        <v>0.34</v>
      </c>
      <c r="L9" s="15" t="n">
        <v>99.8</v>
      </c>
      <c r="M9" s="16" t="n"/>
      <c r="N9" s="13">
        <f>IF(F9="","",F9*G9)</f>
        <v/>
      </c>
      <c r="O9" s="13">
        <f>IF(N9="","",N9+H9)</f>
        <v/>
      </c>
      <c r="P9" s="27">
        <f>IF(AND(C9="Y",N(K9)&gt;0),N9/K9,"")</f>
        <v/>
      </c>
      <c r="Q9" s="27">
        <f>IF(AND(C9="Y",N(J9)&gt;0),O9/J9,"")</f>
        <v/>
      </c>
      <c r="R9" s="27">
        <f>IF(AND(C9="Y",N(L9)&gt;0),N9/L9,"")</f>
        <v/>
      </c>
      <c r="S9" s="10">
        <f>IF(N(I9)&gt;0,J9/I9,"")</f>
        <v/>
      </c>
      <c r="T9" s="10">
        <f>IF(N(L9)&gt;0,K9/L9,"")</f>
        <v/>
      </c>
    </row>
    <row r="10">
      <c r="B10" s="20" t="inlineStr">
        <is>
          <t>Centum Electronics Ltd (per share)</t>
        </is>
      </c>
      <c r="C10" s="20" t="inlineStr">
        <is>
          <t>N</t>
        </is>
      </c>
      <c r="D10" s="20" t="inlineStr">
        <is>
          <t>Defence electronics; loss-making (EPS -31.62)</t>
        </is>
      </c>
      <c r="E10" s="20" t="inlineStr">
        <is>
          <t>Consolidated</t>
        </is>
      </c>
      <c r="F10" s="15" t="n">
        <v>4333.3</v>
      </c>
      <c r="G10" s="15" t="n">
        <v>1</v>
      </c>
      <c r="H10" s="15" t="n"/>
      <c r="I10" s="15" t="n"/>
      <c r="J10" s="15" t="n"/>
      <c r="K10" s="15" t="n">
        <v>-31.62</v>
      </c>
      <c r="L10" s="15" t="n">
        <v>233.47</v>
      </c>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price rests on a turn not yet begun",C7/C8)</f>
        <v/>
      </c>
      <c r="D9" s="27">
        <f>IF(D8&lt;=0,"No multiple: FCF negative - price rests on a turn not yet begun",D7/D8)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no multiple can be stated, and the entire price rests on a turn that has not yet begun.","The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2026-10-15T13:49:05Z</dcterms:created>
  <dcterms:modified xsi:type="dcterms:W3CDTF">2026-10-15T13:49:05Z</dcterms:modified>
</cp:coreProperties>
</file>