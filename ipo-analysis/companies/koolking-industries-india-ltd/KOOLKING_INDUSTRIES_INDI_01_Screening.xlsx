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asis" sheetId="2" state="visible" r:id="rId2"/>
    <sheet name="Quick Metrics" sheetId="3" state="visible" r:id="rId3"/>
    <sheet name="Forensic Checks" sheetId="4" state="visible" r:id="rId4"/>
    <sheet name="Work Blocks" sheetId="5" state="visible" r:id="rId5"/>
    <sheet name="Data Gaps" sheetId="6" state="visible" r:id="rId6"/>
    <sheet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Koolking Industries India Limited</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46288</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Keynote Financial Services Limited</t>
        </is>
      </c>
      <c r="D14" s="8" t="inlineStr"/>
      <c r="E14" s="14" t="inlineStr">
        <is>
          <t>Compile BRLM track record (CIR/MIRSD/1/2012)</t>
        </is>
      </c>
    </row>
    <row r="15">
      <c r="B15" s="6" t="inlineStr">
        <is>
          <t>Figures from outside the offer document</t>
        </is>
      </c>
      <c r="C15" s="7" t="inlineStr">
        <is>
          <t>merchant-banker section only (named secondary sources, unverified); issuer analysis is from the DRHP</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239.938</v>
      </c>
      <c r="D5" s="16" t="n">
        <v>483.142</v>
      </c>
      <c r="E5" s="16" t="n">
        <v>526.745</v>
      </c>
      <c r="F5" s="16" t="n"/>
      <c r="G5" s="7" t="inlineStr">
        <is>
          <t>p. 86</t>
        </is>
      </c>
    </row>
    <row r="6">
      <c r="B6" t="inlineStr">
        <is>
          <t>Other income</t>
        </is>
      </c>
      <c r="C6" s="16" t="n">
        <v>1.478</v>
      </c>
      <c r="D6" s="16" t="n">
        <v>0.695</v>
      </c>
      <c r="E6" s="16" t="n">
        <v>2.631</v>
      </c>
      <c r="F6" s="16" t="n"/>
      <c r="G6" s="7" t="inlineStr">
        <is>
          <t>p. 86</t>
        </is>
      </c>
    </row>
    <row r="7">
      <c r="B7" t="inlineStr">
        <is>
          <t>Profit before tax</t>
        </is>
      </c>
      <c r="C7" s="16" t="n">
        <v>11.667</v>
      </c>
      <c r="D7" s="16" t="n">
        <v>37.398</v>
      </c>
      <c r="E7" s="16" t="n">
        <v>44.248</v>
      </c>
      <c r="F7" s="16" t="n"/>
      <c r="G7" s="7" t="inlineStr">
        <is>
          <t>p. 86</t>
        </is>
      </c>
    </row>
    <row r="8">
      <c r="B8" t="inlineStr">
        <is>
          <t>Current tax</t>
        </is>
      </c>
      <c r="C8" s="16" t="n">
        <v>3.198</v>
      </c>
      <c r="D8" s="16" t="n">
        <v>9.744999999999999</v>
      </c>
      <c r="E8" s="16" t="n">
        <v>10.751</v>
      </c>
      <c r="F8" s="16" t="n"/>
      <c r="G8" s="7" t="inlineStr">
        <is>
          <t>p. 86</t>
        </is>
      </c>
    </row>
    <row r="9">
      <c r="B9" t="inlineStr">
        <is>
          <t>Deferred tax</t>
        </is>
      </c>
      <c r="C9" s="16" t="n">
        <v>0.799</v>
      </c>
      <c r="D9" s="16" t="n">
        <v>0.516</v>
      </c>
      <c r="E9" s="16" t="n">
        <v>0.291</v>
      </c>
      <c r="F9" s="16" t="n"/>
      <c r="G9" s="7" t="inlineStr">
        <is>
          <t>p. 86</t>
        </is>
      </c>
    </row>
    <row r="10">
      <c r="B10" t="inlineStr">
        <is>
          <t>PAT</t>
        </is>
      </c>
      <c r="C10" s="16" t="n">
        <v>7.67</v>
      </c>
      <c r="D10" s="16" t="n">
        <v>27.137</v>
      </c>
      <c r="E10" s="16" t="n">
        <v>33.206</v>
      </c>
      <c r="F10" s="16" t="n"/>
      <c r="G10" s="7" t="inlineStr">
        <is>
          <t>p. 86</t>
        </is>
      </c>
    </row>
    <row r="11">
      <c r="B11" t="inlineStr">
        <is>
          <t>Cash flow from operations</t>
        </is>
      </c>
      <c r="C11" s="16" t="n">
        <v>3.74</v>
      </c>
      <c r="D11" s="16" t="n">
        <v>-6.647</v>
      </c>
      <c r="E11" s="16" t="n">
        <v>-43.008</v>
      </c>
      <c r="F11" s="16" t="n"/>
      <c r="G11" s="7" t="inlineStr">
        <is>
          <t>p. 87</t>
        </is>
      </c>
    </row>
    <row r="12">
      <c r="B12" t="inlineStr">
        <is>
          <t>Related-party sales</t>
        </is>
      </c>
      <c r="C12" s="16" t="n">
        <v>0.947</v>
      </c>
      <c r="D12" s="16" t="n">
        <v>1.614</v>
      </c>
      <c r="E12" s="16" t="n">
        <v>0.265</v>
      </c>
      <c r="F12" s="16" t="n"/>
      <c r="G12" s="7" t="inlineStr">
        <is>
          <t>pp. 90-92 (KPM India / KPM International, KMP-influenced)</t>
        </is>
      </c>
    </row>
    <row r="13">
      <c r="B13" t="inlineStr">
        <is>
          <t>Related-party purchases (incl. capex)</t>
        </is>
      </c>
      <c r="C13" s="16" t="n">
        <v>0.671</v>
      </c>
      <c r="D13" s="16" t="n">
        <v>3.998</v>
      </c>
      <c r="E13" s="16" t="n">
        <v>2.857</v>
      </c>
      <c r="F13" s="16" t="n"/>
      <c r="G13" s="7" t="inlineStr">
        <is>
          <t>pp. 90-92 (goods and services; excludes Rs 4.99 m freehold land bought from Koolking Foundation in FY26)</t>
        </is>
      </c>
    </row>
    <row r="14">
      <c r="B14" t="inlineStr">
        <is>
          <t>Net worth</t>
        </is>
      </c>
      <c r="C14" s="16" t="n">
        <v>33.479</v>
      </c>
      <c r="D14" s="16" t="n">
        <v>60.826</v>
      </c>
      <c r="E14" s="16" t="n">
        <v>94.117</v>
      </c>
      <c r="F14" s="16" t="n"/>
      <c r="G14" s="7" t="inlineStr">
        <is>
          <t>p. 85 (total equity; no revaluation reserve)</t>
        </is>
      </c>
    </row>
    <row r="15">
      <c r="B15" t="inlineStr">
        <is>
          <t>Trade receivables</t>
        </is>
      </c>
      <c r="C15" s="16" t="n">
        <v>60.116</v>
      </c>
      <c r="D15" s="16" t="n">
        <v>71.282</v>
      </c>
      <c r="E15" s="16" t="n">
        <v>106.151</v>
      </c>
      <c r="F15" s="16" t="n"/>
      <c r="G15" s="7" t="inlineStr">
        <is>
          <t>p. 85</t>
        </is>
      </c>
    </row>
    <row r="16">
      <c r="B16" t="inlineStr">
        <is>
          <t>Inventory</t>
        </is>
      </c>
      <c r="C16" s="16" t="n">
        <v>30.698</v>
      </c>
      <c r="D16" s="16" t="n">
        <v>68.23399999999999</v>
      </c>
      <c r="E16" s="16" t="n">
        <v>170.024</v>
      </c>
      <c r="F16" s="16" t="n"/>
      <c r="G16" s="7" t="inlineStr">
        <is>
          <t>p. 85</t>
        </is>
      </c>
    </row>
    <row r="17">
      <c r="B17" t="inlineStr">
        <is>
          <t>Trade payables</t>
        </is>
      </c>
      <c r="C17" s="16" t="n">
        <v>64.077</v>
      </c>
      <c r="D17" s="16" t="n">
        <v>56.189</v>
      </c>
      <c r="E17" s="16" t="n">
        <v>118.004</v>
      </c>
      <c r="F17" s="16" t="n"/>
      <c r="G17" s="7" t="inlineStr">
        <is>
          <t>p. 85 (MSME + others)</t>
        </is>
      </c>
    </row>
    <row r="18">
      <c r="B18" t="inlineStr">
        <is>
          <t>Contingent liabilities</t>
        </is>
      </c>
      <c r="C18" s="16" t="n"/>
      <c r="D18" s="16" t="n"/>
      <c r="E18" s="16" t="n">
        <v>13.346</v>
      </c>
      <c r="F18" s="16" t="n"/>
      <c r="G18" s="7" t="inlineStr">
        <is>
          <t>p. 89 (GST 0.84 + income tax 2.19 + customs 130.38 + employee 0.05)</t>
        </is>
      </c>
    </row>
    <row r="19">
      <c r="B19" t="inlineStr">
        <is>
          <t>Goodwill + intangibles</t>
        </is>
      </c>
      <c r="C19" s="16" t="n">
        <v>0</v>
      </c>
      <c r="D19" s="16" t="n">
        <v>0</v>
      </c>
      <c r="E19" s="16" t="n">
        <v>0</v>
      </c>
      <c r="F19" s="16" t="n"/>
      <c r="G19" s="7" t="inlineStr">
        <is>
          <t>p. 85 (no goodwill line)</t>
        </is>
      </c>
    </row>
    <row r="20">
      <c r="B20" t="inlineStr">
        <is>
          <t>Revaluation reserve</t>
        </is>
      </c>
      <c r="C20" s="16" t="n">
        <v>0</v>
      </c>
      <c r="D20" s="16" t="n">
        <v>0</v>
      </c>
      <c r="E20" s="16" t="n">
        <v>0</v>
      </c>
      <c r="F20" s="16" t="n"/>
      <c r="G20" s="7" t="inlineStr">
        <is>
          <t>pp. 85-86</t>
        </is>
      </c>
    </row>
    <row r="22">
      <c r="B22" s="3" t="inlineStr">
        <is>
          <t>Single-period inputs (latest)</t>
        </is>
      </c>
    </row>
    <row r="23">
      <c r="B23" t="inlineStr">
        <is>
          <t>Top customer % of revenue</t>
        </is>
      </c>
      <c r="E23" s="17" t="n">
        <v>0.2879</v>
      </c>
    </row>
    <row r="24">
      <c r="B24" t="inlineStr">
        <is>
          <t>Top-10 customers % of revenue</t>
        </is>
      </c>
      <c r="E24" s="17" t="n">
        <v>0.8971</v>
      </c>
    </row>
    <row r="25">
      <c r="B25" t="inlineStr">
        <is>
          <t>Top supplier % of purchases</t>
        </is>
      </c>
      <c r="E25" s="17" t="n">
        <v>0.3299</v>
      </c>
    </row>
    <row r="26">
      <c r="B26" t="inlineStr">
        <is>
          <t>Largest state/country % of revenue</t>
        </is>
      </c>
      <c r="E26" s="17" t="n"/>
    </row>
    <row r="27">
      <c r="B27" t="inlineStr">
        <is>
          <t>Fresh issue net of expenses</t>
        </is>
      </c>
      <c r="E27" s="16" t="n"/>
    </row>
    <row r="28">
      <c r="B28" t="inlineStr">
        <is>
          <t>Promoter weighted avg cost of acquisition (Rs)</t>
        </is>
      </c>
      <c r="E28" s="16" t="n"/>
    </row>
    <row r="29">
      <c r="B29" t="inlineStr">
        <is>
          <t>Offer price / cap (Rs)</t>
        </is>
      </c>
      <c r="E29" s="16" t="n">
        <v>115.82</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176-178</t>
        </is>
      </c>
      <c r="G5" s="27" t="inlineStr">
        <is>
          <t>2:1 bonus (record date 21-Aug-2026, allotted 1-Sep-2026) and 1:2 split (3-Sep-2026) are applied retrospectively: EPS 6.07 / 4.96 / 1.43 and NAV 17.20 are on 54,729,240 shares. The balance sheet still shows share capital of Rs 91.22 m (pre-bonus count of 9,121,540 shares of Rs 10), which is a presentation point only.</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p. 87</t>
        </is>
      </c>
      <c r="G6" s="27" t="inlineStr">
        <is>
          <t>Operating cash flow +37.40 / -66.47 / -430.08 Rs m (FY24 / FY25 / FY26) against PAT 76.70 / 271.37 / 332.06; cumulative CFO/PAT -67.5% (-459.15 / 680.13). Operating profit before working capital was positive each year (633.64 in FY26); working capital absorbed Rs 962.71 m in FY26 (inventory Rs 1,017.90 m, receivables Rs 344.94 m, offset by payables Rs 596.42 m). FY26 CFO is also after Rs 74.96 m of foreign-exchange loss in other expenses and Rs 44.24 m of unrealised loss added back. Business reason given: working capital was built for growth and higher metal prices (inventory days 116 vs 50); not yet a full cycle, so WATCH until H1 FY27.</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pp. 86-87</t>
        </is>
      </c>
      <c r="G7" s="27" t="inlineStr">
        <is>
          <t>Current tax Rs 107.51 m of a Rs 110.42 m FY26 charge; cumulative current tax is 25.4% of cumulative PBT (236.94 / 933.13 Rs m) against a 25.17% statutory rate. Tax actually paid was Rs 155.57 m over three years, so Rs 92.03 m sits as current tax payable at 31-Mar-2026 (Rs 16.98 m at FY24).</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90-92, 407</t>
        </is>
      </c>
      <c r="G8" s="27" t="inlineStr">
        <is>
          <t>Related-party trade is small: purchases from KPM India / KPM International Rs 28.57 m (0.54% of FY26 revenue), sales Rs 2.65 m. Freehold land of Rs 4.99 m was bought from Koolking Foundation (a KMP-influenced entity) in FY26. Promoters lend to the company: unsecured loans of Rs 157.25 m were outstanding at 31-Jul-2026 (8.84% of borrowings, p. 37), and interest paid to promoters, relatives and their HUFs was Rs 13.97 m in FY26. Proceeds go to the company's own plants, not to a subsidiary.</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pp. 133-134</t>
        </is>
      </c>
      <c r="G9" s="27" t="inlineStr">
        <is>
          <t>Amount-based issue (Rs 3,000 m) with no fixed share count, so no price floor can be set. Specific objects total Rs 2,130.00 m (71.0% of gross proceeds): new units Rs 1,384.73 m, existing-plant machinery Rs 145.27 m, working capital Rs 600.00 m. The balance of Rs 870.00 m must cover offer expenses and general corporate purposes, with GCP capped at 25% of gross proceeds (Rs 750 m); at that cap, offer expenses would be at least Rs 120.00 m.</t>
        </is>
      </c>
    </row>
    <row r="10" ht="42" customHeight="1">
      <c r="A10" s="26" t="inlineStr">
        <is>
          <t>6</t>
        </is>
      </c>
      <c r="B10" s="26" t="inlineStr">
        <is>
          <t>Revaluation reserves</t>
        </is>
      </c>
      <c r="C10" s="26" t="inlineStr">
        <is>
          <t>Any non-zero balance.</t>
        </is>
      </c>
      <c r="D10" s="26" t="inlineStr">
        <is>
          <t>Other equity note</t>
        </is>
      </c>
      <c r="E10" s="7" t="inlineStr">
        <is>
          <t>PASS</t>
        </is>
      </c>
      <c r="F10" s="7" t="inlineStr">
        <is>
          <t>pp. 85-86</t>
        </is>
      </c>
      <c r="G10" s="27" t="inlineStr">
        <is>
          <t>No revaluation reserve in other equity.</t>
        </is>
      </c>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p. 85</t>
        </is>
      </c>
      <c r="G11" s="27" t="inlineStr">
        <is>
          <t>No goodwill; other intangible assets Rs 0.67 m.</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24-26, 404, 430</t>
        </is>
      </c>
      <c r="G12" s="27" t="inlineStr">
        <is>
          <t>Demand side: top-10 customers 89.71% / 89.36% / 88.38% of revenue (FY26 / FY25 / FY24); Amber Enterprises India 28.79%; top-5 customers 75.36%. Supply side: top-10 suppliers 79.33% of expenses; Supplier 1 is 32.99% (22.74% in FY25). Amber Enterprises, the largest customer, is also named among the major suppliers (p. 26); the DRHP does not say how much is bought from it. 53.07% of raw materials are imported (South Korea, China, Thailand). The DRHP states there are no long-term contracts with the top-10 suppliers and purchases are by individual purchase order (p. 430). Concentration of this kind is typical of a tier-2 supplier to a few AC makers; reported as a point to monitor.</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WATCH</t>
        </is>
      </c>
      <c r="F13" s="7" t="inlineStr">
        <is>
          <t>pp. 55, 89, 461</t>
        </is>
      </c>
      <c r="G13" s="27" t="inlineStr">
        <is>
          <t>Contingent liabilities Rs 133.46 m = 14.2% of net worth (Rs 941.17 m) and 30.2% of FY26 PBT; Rs 130.38 m is a customs show-cause notice (22-Apr-2025) on ASEAN-India FTA duty exemption. The High Court dismissed the writ on 28-Apr-2026; a special leave petition (29-May-2026) is pending at the Supreme Court. Not provided for.</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pp. 59, 95</t>
        </is>
      </c>
      <c r="G15" s="27" t="inlineStr">
        <is>
          <t>Statutory auditor Raj Kumar Jindal &amp; Co resigned 20-Sep-2025 (stated reason: preoccupation with other professional arrangements) after re-appointment on 30-Sep-2024; SCV &amp; Co. LLP was appointed 30-Sep-2025 to fill the vacancy and audited FY26. FY25 and FY24 are special-purpose financial statements. Auditors' reports carry observations on audit trail and on title deeds (p. 59).</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WATCH</t>
        </is>
      </c>
      <c r="F16" s="7" t="inlineStr">
        <is>
          <t>p. 59</t>
        </is>
      </c>
      <c r="G16" s="27" t="inlineStr">
        <is>
          <t>CARO / Rule 11(g): audit trail was partly enabled at application level and not at database level throughout FY26. Title deeds of Plot UDL-7 (Gross value Rs 32.22 m, Andhra Pradesh) are not yet in the company's name (held since March 2025; sale deed pending).</t>
        </is>
      </c>
    </row>
    <row r="17" ht="42" customHeight="1">
      <c r="A17" s="26" t="inlineStr">
        <is>
          <t>R3</t>
        </is>
      </c>
      <c r="B17" s="26" t="inlineStr">
        <is>
          <t>Monitoring agency (ICDR Reg 262(1))</t>
        </is>
      </c>
      <c r="C17" s="26" t="inlineStr">
        <is>
          <t>Appointed where required by issue size?</t>
        </is>
      </c>
      <c r="D17" s="26" t="inlineStr">
        <is>
          <t>Objects</t>
        </is>
      </c>
      <c r="E17" s="7" t="inlineStr">
        <is>
          <t>PASS</t>
        </is>
      </c>
      <c r="F17" s="7" t="inlineStr">
        <is>
          <t>pp. 133-134</t>
        </is>
      </c>
      <c r="G17" s="27" t="inlineStr">
        <is>
          <t>Monitoring agency to be appointed (issue above Rs 1,000 m). No debt-repayment object. Land for the three new units is already owned and is not funded from proceeds.</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PASS</t>
        </is>
      </c>
      <c r="F18" s="7" t="inlineStr">
        <is>
          <t>p. 475</t>
        </is>
      </c>
      <c r="G18" s="27" t="inlineStr">
        <is>
          <t>Reg 6(1) re-performed: operating profit 533.77 / 429.41 / 135.94 Rs m reproduces from PBT plus finance cost less other income (442.48 + 117.60 - 26.31 = 533.77); three-year average Rs 366.37 m against the Rs 150 m test; net tangible assets Rs 940.50 / 607.46 / 333.72 m; monetary assets 13.76% / 16.28% / 17.33% of NTA; net worth above Rs 10 m each year. KPI EBITDA Rs 573.88 m reproduces from the P&amp;L.</t>
        </is>
      </c>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PASS</t>
        </is>
      </c>
      <c r="F19" s="7" t="inlineStr">
        <is>
          <t>p. 1</t>
        </is>
      </c>
      <c r="G19" s="27" t="inlineStr">
        <is>
          <t>OFS of 3,050,000 shares by four selling shareholders (915,000 each from three promoters; 305,000 from a promoter-group member), each below half of its holding. At the Rs 115.82 reference the OFS is Rs 353.3 m, 10.5% of a Rs 3353.3 m offer (under the 20% ceiling). Re-test at the RHP price.</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WATCH</t>
        </is>
      </c>
      <c r="F20" s="7" t="inlineStr">
        <is>
          <t>pp. 481-482</t>
        </is>
      </c>
      <c r="G20" s="27" t="inlineStr">
        <is>
          <t>Keynote Financial Services is BRLM. This DRHP lists two IPOs handled in FY27: Amir Chand Jagdish Kumar (Exports), -23.53% at day 30 and -15.98% at day 90; CSM Technologies, -2.75% at day 30. Neither has a 180-day reading. Both are recorded in data/merchant_bankers.json.</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N.A.</t>
        </is>
      </c>
      <c r="F21" s="7" t="inlineStr">
        <is>
          <t>pp. 133-136</t>
        </is>
      </c>
      <c r="G21" s="27" t="inlineStr">
        <is>
          <t>Total project cost of the three new units is Rs 1,530.00 m per the DPR, funded from net proceeds; orders for plant and machinery are yet to be placed (pp. 133-143). Any separate means-of-finance tie-up is not described.</t>
        </is>
      </c>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2026-10-22T13:46:01Z</dcterms:created>
  <dcterms:modified xsi:type="dcterms:W3CDTF">2026-10-22T13:46:01Z</dcterms:modified>
</cp:coreProperties>
</file>