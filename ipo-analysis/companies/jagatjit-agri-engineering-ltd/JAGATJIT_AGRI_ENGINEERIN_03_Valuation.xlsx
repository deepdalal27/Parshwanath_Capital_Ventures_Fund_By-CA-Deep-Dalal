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Jagatjit Agri Engineering Limited</t>
        </is>
      </c>
      <c r="D8" s="21" t="inlineStr"/>
    </row>
    <row r="9">
      <c r="B9" s="19" t="inlineStr">
        <is>
          <t>Financial basis</t>
        </is>
      </c>
      <c r="C9" s="20" t="inlineStr">
        <is>
          <t>Consolidated (FY26)</t>
        </is>
      </c>
      <c r="D9" s="21" t="inlineStr"/>
      <c r="E9" s="17" t="inlineStr">
        <is>
          <t>Use the same basis for every peer</t>
        </is>
      </c>
    </row>
    <row r="10">
      <c r="B10" s="19" t="inlineStr">
        <is>
          <t>Pre-issue shares, fully diluted (post any bonus)</t>
        </is>
      </c>
      <c r="C10" s="15" t="n">
        <v>5.5650984</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300</v>
      </c>
      <c r="D12" s="21" t="inlineStr">
        <is>
          <t>Rs cr</t>
        </is>
      </c>
    </row>
    <row r="13">
      <c r="B13" s="19" t="inlineStr">
        <is>
          <t>Fresh shares fixed in DRHP (0 if amount-based)</t>
        </is>
      </c>
      <c r="C13" s="15" t="n">
        <v>0</v>
      </c>
      <c r="D13" s="21" t="inlineStr">
        <is>
          <t>crore</t>
        </is>
      </c>
    </row>
    <row r="14">
      <c r="B14" s="19" t="inlineStr">
        <is>
          <t>OFS shares (no effect on share count)</t>
        </is>
      </c>
      <c r="C14" s="15" t="n">
        <v>0.31</v>
      </c>
      <c r="D14" s="21" t="inlineStr">
        <is>
          <t>crore</t>
        </is>
      </c>
    </row>
    <row r="15">
      <c r="B15" s="19" t="inlineStr">
        <is>
          <t>Price band - floor</t>
        </is>
      </c>
      <c r="C15" s="15" t="n">
        <v>155.78</v>
      </c>
      <c r="D15" s="21" t="inlineStr">
        <is>
          <t>Rs</t>
        </is>
      </c>
    </row>
    <row r="16">
      <c r="B16" s="19" t="inlineStr">
        <is>
          <t>Price band - cap</t>
        </is>
      </c>
      <c r="C16" s="15" t="n">
        <v>155.78</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200.164</v>
      </c>
      <c r="D18" s="21" t="inlineStr">
        <is>
          <t>Rs cr</t>
        </is>
      </c>
    </row>
    <row r="19">
      <c r="B19" s="19" t="inlineStr">
        <is>
          <t>Offer expenses as % of fresh issue</t>
        </is>
      </c>
      <c r="C19" s="16" t="n"/>
      <c r="D19" s="21" t="inlineStr"/>
    </row>
    <row r="20">
      <c r="B20" s="19" t="inlineStr">
        <is>
          <t>GCP as % of fresh issue</t>
        </is>
      </c>
      <c r="C20" s="16" t="n"/>
      <c r="D20" s="21" t="inlineStr"/>
      <c r="E20" s="17" t="inlineStr">
        <is>
          <t>Check against regulatory cap</t>
        </is>
      </c>
    </row>
    <row r="21">
      <c r="B21" s="19" t="inlineStr">
        <is>
          <t>IPO-funded capex object</t>
        </is>
      </c>
      <c r="C21" s="15" t="n">
        <v>71.664</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413.97</v>
      </c>
      <c r="D25" s="21" t="inlineStr">
        <is>
          <t>Rs cr</t>
        </is>
      </c>
    </row>
    <row r="26">
      <c r="B26" s="19" t="inlineStr">
        <is>
          <t>Revenue - prior year</t>
        </is>
      </c>
      <c r="C26" s="15" t="n">
        <v>253.76</v>
      </c>
      <c r="D26" s="21" t="inlineStr">
        <is>
          <t>Rs cr</t>
        </is>
      </c>
    </row>
    <row r="27">
      <c r="B27" s="19" t="inlineStr">
        <is>
          <t>EBITDA (ties to issuer KPI table)</t>
        </is>
      </c>
      <c r="C27" s="15" t="n">
        <v>55.738</v>
      </c>
      <c r="D27" s="21" t="inlineStr">
        <is>
          <t>Rs cr</t>
        </is>
      </c>
    </row>
    <row r="28">
      <c r="B28" s="19" t="inlineStr">
        <is>
          <t>Depreciation &amp; amortisation</t>
        </is>
      </c>
      <c r="C28" s="15" t="n">
        <v>4.666</v>
      </c>
      <c r="D28" s="21" t="inlineStr">
        <is>
          <t>Rs cr</t>
        </is>
      </c>
    </row>
    <row r="29">
      <c r="B29" s="19" t="inlineStr">
        <is>
          <t>PAT</t>
        </is>
      </c>
      <c r="C29" s="15" t="n">
        <v>31.39</v>
      </c>
      <c r="D29" s="21" t="inlineStr">
        <is>
          <t>Rs cr</t>
        </is>
      </c>
    </row>
    <row r="30">
      <c r="B30" s="19" t="inlineStr">
        <is>
          <t>Net worth (pre-issue)</t>
        </is>
      </c>
      <c r="C30" s="15" t="n">
        <v>70.929</v>
      </c>
      <c r="D30" s="21" t="inlineStr">
        <is>
          <t>Rs cr</t>
        </is>
      </c>
    </row>
    <row r="31">
      <c r="B31" s="19" t="inlineStr">
        <is>
          <t>Net debt (borrowings - cash)</t>
        </is>
      </c>
      <c r="C31" s="15" t="n">
        <v>119.417</v>
      </c>
      <c r="D31" s="21" t="inlineStr">
        <is>
          <t>Rs cr</t>
        </is>
      </c>
    </row>
    <row r="32">
      <c r="B32" s="19" t="inlineStr">
        <is>
          <t>Net working capital</t>
        </is>
      </c>
      <c r="C32" s="15" t="n">
        <v>83.852</v>
      </c>
      <c r="D32" s="21" t="inlineStr">
        <is>
          <t>Rs cr</t>
        </is>
      </c>
      <c r="E32" s="17" t="inlineStr">
        <is>
          <t>Reconcile to Objects-chapter WC table</t>
        </is>
      </c>
    </row>
    <row r="33">
      <c r="B33" s="19" t="inlineStr">
        <is>
          <t>Net working capital - prior year</t>
        </is>
      </c>
      <c r="C33" s="15" t="n">
        <v>52.023</v>
      </c>
      <c r="D33" s="21" t="inlineStr">
        <is>
          <t>Rs cr</t>
        </is>
      </c>
    </row>
    <row r="34">
      <c r="B34" s="19" t="inlineStr">
        <is>
          <t>Capex (purchase of PPE + intangibles)</t>
        </is>
      </c>
      <c r="C34" s="15" t="n">
        <v>32.18</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0.093</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0.25</v>
      </c>
      <c r="G67" s="16" t="n">
        <v>0.35</v>
      </c>
      <c r="H67" s="20" t="inlineStr">
        <is>
          <t>FY26 revenue Rs 4,139.70 m is +63.1% on proforma FY25 Rs 2,537.60 m; proforma FY25 was +22.3% on FY24 (p. 92). The CARE report puts the domestic implements industry at 10.2% CAGR FY23-26 and farm equipment at 7.7% CAGR FY26-30 (pp. 248, 250). Bear is near the industry rate; Neutral fades from 25%; Bull holds above 30% for two years as Dehlon capacity (Mar-2028) arrives. Subsidy-driven demand (CRM and SMAM schemes, p. 56) can swing a year either way.</t>
        </is>
      </c>
    </row>
    <row r="68">
      <c r="B68" t="inlineStr">
        <is>
          <t>Revenue growth Y2</t>
        </is>
      </c>
      <c r="C68" s="23">
        <f>INDEX(E68:G68,Assumptions!$C$5)</f>
        <v/>
      </c>
      <c r="E68" s="16" t="n">
        <v>0.07000000000000001</v>
      </c>
      <c r="F68" s="16" t="n">
        <v>0.2</v>
      </c>
      <c r="G68" s="16" t="n">
        <v>0.28</v>
      </c>
      <c r="H68" s="20" t="inlineStr">
        <is>
          <t>[rationale + page]</t>
        </is>
      </c>
    </row>
    <row r="69">
      <c r="B69" t="inlineStr">
        <is>
          <t>Revenue growth Y3</t>
        </is>
      </c>
      <c r="C69" s="23">
        <f>INDEX(E69:G69,Assumptions!$C$5)</f>
        <v/>
      </c>
      <c r="E69" s="16" t="n">
        <v>0.06</v>
      </c>
      <c r="F69" s="16" t="n">
        <v>0.16</v>
      </c>
      <c r="G69" s="16" t="n">
        <v>0.22</v>
      </c>
      <c r="H69" s="20" t="inlineStr">
        <is>
          <t>[rationale + page]</t>
        </is>
      </c>
    </row>
    <row r="70">
      <c r="B70" t="inlineStr">
        <is>
          <t>Revenue growth Y4</t>
        </is>
      </c>
      <c r="C70" s="23">
        <f>INDEX(E70:G70,Assumptions!$C$5)</f>
        <v/>
      </c>
      <c r="E70" s="16" t="n">
        <v>0.05</v>
      </c>
      <c r="F70" s="16" t="n">
        <v>0.13</v>
      </c>
      <c r="G70" s="16" t="n">
        <v>0.16</v>
      </c>
      <c r="H70" s="20" t="inlineStr">
        <is>
          <t>[rationale + page]</t>
        </is>
      </c>
    </row>
    <row r="71">
      <c r="B71" t="inlineStr">
        <is>
          <t>Revenue growth Y5</t>
        </is>
      </c>
      <c r="C71" s="23">
        <f>INDEX(E71:G71,Assumptions!$C$5)</f>
        <v/>
      </c>
      <c r="E71" s="16" t="n">
        <v>0.05</v>
      </c>
      <c r="F71" s="16" t="n">
        <v>0.1</v>
      </c>
      <c r="G71" s="16" t="n">
        <v>0.12</v>
      </c>
      <c r="H71" s="20" t="inlineStr">
        <is>
          <t>[rationale + page]</t>
        </is>
      </c>
    </row>
    <row r="72">
      <c r="B72" t="inlineStr">
        <is>
          <t>EBITDA margin Y1-Y5</t>
        </is>
      </c>
      <c r="C72" s="23">
        <f>INDEX(E72:G72,Assumptions!$C$5)</f>
        <v/>
      </c>
      <c r="E72" s="16" t="n">
        <v>0.105</v>
      </c>
      <c r="F72" s="16" t="n">
        <v>0.125</v>
      </c>
      <c r="G72" s="16" t="n">
        <v>0.14</v>
      </c>
      <c r="H72" s="20" t="inlineStr">
        <is>
          <t>Proforma EBITDA margin 9.74% / 14.51% and restated FY26 13.46% (p. 158); three-year average 12.6%. Neutral uses the through-cycle 12.5%. The listed tractor peers run 13.2-13.3% (p. 161). Gross margin (23.6% to 39.1%) is not used: it moves with how labour and job-work are classified between materials and employee cost.</t>
        </is>
      </c>
    </row>
    <row r="73">
      <c r="B73" t="inlineStr">
        <is>
          <t>Net working capital % revenue</t>
        </is>
      </c>
      <c r="C73" s="23">
        <f>INDEX(E73:G73,Assumptions!$C$5)</f>
        <v/>
      </c>
      <c r="E73" s="16" t="n">
        <v>0.23</v>
      </c>
      <c r="F73" s="16" t="n">
        <v>0.2</v>
      </c>
      <c r="G73" s="16" t="n">
        <v>0.18</v>
      </c>
      <c r="H73" s="20" t="inlineStr">
        <is>
          <t>Trade NWC (inventory + receivables - trade payables) is 18.5% / 20.5% / 20.3% of revenue FY24-26 (proforma FY24-25, restated FY26; pp. 85, 91). Closing inventory days were about 165 against the issuer's 132 average-based days (p. 133). Neutral 20%; Bear 23%; Bull 18% as the issuer targets 130 inventory days and 45 receivable days.</t>
        </is>
      </c>
    </row>
    <row r="74">
      <c r="B74" t="inlineStr">
        <is>
          <t>Terminal ROIC</t>
        </is>
      </c>
      <c r="C74" s="23">
        <f>INDEX(E74:G74,Assumptions!$C$5)</f>
        <v/>
      </c>
      <c r="E74" s="16" t="n">
        <v>0.13</v>
      </c>
      <c r="F74" s="16" t="n">
        <v>0.2</v>
      </c>
      <c r="G74" s="16" t="n">
        <v>0.25</v>
      </c>
      <c r="H74" s="20" t="inlineStr">
        <is>
          <t>Issuer ROCE 31.1% FY26 and 31.6% proforma FY25 (p. 158) but the capital base is small and FY24 net worth was Rs 5.32 m. Neutral terminal ROIC 20%, above the cost of capital but well under the reported ROCE; Bear 13% near the cost of capital.</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VST Tillers Tractors Ltd (per share)</t>
        </is>
      </c>
      <c r="C5" s="20" t="inlineStr">
        <is>
          <t>Y</t>
        </is>
      </c>
      <c r="D5" s="20" t="inlineStr">
        <is>
          <t>Power tillers, tractors and implements; issuer's peer (p. 156). Partial match: OEM with no dealer-subsidy dependence on the same scale</t>
        </is>
      </c>
      <c r="E5" s="20" t="inlineStr">
        <is>
          <t>Consolidated</t>
        </is>
      </c>
      <c r="F5" s="15" t="n">
        <v>4039.9</v>
      </c>
      <c r="G5" s="15" t="n">
        <v>1</v>
      </c>
      <c r="H5" s="15" t="n"/>
      <c r="I5" s="15" t="n"/>
      <c r="J5" s="15" t="n"/>
      <c r="K5" s="15" t="n">
        <v>121.16</v>
      </c>
      <c r="L5" s="15" t="n">
        <v>1264.48</v>
      </c>
      <c r="M5" s="16" t="n">
        <v>0.247</v>
      </c>
      <c r="N5" s="13">
        <f>IF(F5="","",F5*G5)</f>
        <v/>
      </c>
      <c r="O5" s="13">
        <f>IF(N5="","",N5+H5)</f>
        <v/>
      </c>
      <c r="P5" s="27">
        <f>IF(AND(C5="Y",N(K5)&gt;0),N5/K5,"")</f>
        <v/>
      </c>
      <c r="Q5" s="27">
        <f>IF(AND(C5="Y",N(J5)&gt;0),O5/J5,"")</f>
        <v/>
      </c>
      <c r="R5" s="27">
        <f>IF(AND(C5="Y",N(L5)&gt;0),N5/L5,"")</f>
        <v/>
      </c>
      <c r="S5" s="10">
        <f>IF(N(I5)&gt;0,J5/I5,"")</f>
        <v/>
      </c>
      <c r="T5" s="10">
        <f>IF(N(L5)&gt;0,K5/L5,"")</f>
        <v/>
      </c>
    </row>
    <row r="6">
      <c r="B6" s="20" t="inlineStr">
        <is>
          <t>Indo Farm Equipment Ltd (per share)</t>
        </is>
      </c>
      <c r="C6" s="20" t="inlineStr">
        <is>
          <t>Y</t>
        </is>
      </c>
      <c r="D6" s="20" t="inlineStr">
        <is>
          <t>Tractors, cranes and implements; issuer's peer (p. 156). Partial match</t>
        </is>
      </c>
      <c r="E6" s="20" t="inlineStr">
        <is>
          <t>Consolidated</t>
        </is>
      </c>
      <c r="F6" s="15" t="n">
        <v>141.95</v>
      </c>
      <c r="G6" s="15" t="n">
        <v>1</v>
      </c>
      <c r="H6" s="15" t="n"/>
      <c r="I6" s="15" t="n"/>
      <c r="J6" s="15" t="n"/>
      <c r="K6" s="15" t="n">
        <v>5.14</v>
      </c>
      <c r="L6" s="15" t="n">
        <v>115.81</v>
      </c>
      <c r="M6" s="16" t="n">
        <v>0.1366</v>
      </c>
      <c r="N6" s="13">
        <f>IF(F6="","",F6*G6)</f>
        <v/>
      </c>
      <c r="O6" s="13">
        <f>IF(N6="","",N6+H6)</f>
        <v/>
      </c>
      <c r="P6" s="27">
        <f>IF(AND(C6="Y",N(K6)&gt;0),N6/K6,"")</f>
        <v/>
      </c>
      <c r="Q6" s="27">
        <f>IF(AND(C6="Y",N(J6)&gt;0),O6/J6,"")</f>
        <v/>
      </c>
      <c r="R6" s="27">
        <f>IF(AND(C6="Y",N(L6)&gt;0),N6/L6,"")</f>
        <v/>
      </c>
      <c r="S6" s="10">
        <f>IF(N(I6)&gt;0,J6/I6,"")</f>
        <v/>
      </c>
      <c r="T6" s="10">
        <f>IF(N(L6)&gt;0,K6/L6,"")</f>
        <v/>
      </c>
    </row>
    <row r="7">
      <c r="B7" s="20" t="inlineStr">
        <is>
          <t>Escorts Kubota Ltd (per share)</t>
        </is>
      </c>
      <c r="C7" s="20" t="inlineStr">
        <is>
          <t>Y</t>
        </is>
      </c>
      <c r="D7" s="20" t="inlineStr">
        <is>
          <t>Tractors and construction equipment; issuer's peer (p. 156). Larger, more diversified</t>
        </is>
      </c>
      <c r="E7" s="20" t="inlineStr">
        <is>
          <t>Consolidated</t>
        </is>
      </c>
      <c r="F7" s="15" t="n">
        <v>2900.15</v>
      </c>
      <c r="G7" s="15" t="n">
        <v>1</v>
      </c>
      <c r="H7" s="15" t="n"/>
      <c r="I7" s="15" t="n"/>
      <c r="J7" s="15" t="n"/>
      <c r="K7" s="15" t="n">
        <v>124.2</v>
      </c>
      <c r="L7" s="15" t="n">
        <v>1082.14</v>
      </c>
      <c r="M7" s="16" t="n">
        <v>0.1266</v>
      </c>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2026-10-20T13:34:30Z</dcterms:created>
  <dcterms:modified xmlns:dcterms="http://purl.org/dc/terms/" xmlns:xsi="http://www.w3.org/2001/XMLSchema-instance" xsi:type="dcterms:W3CDTF">2026-10-20T13:34:30Z</dcterms:modified>
</cp:coreProperties>
</file>