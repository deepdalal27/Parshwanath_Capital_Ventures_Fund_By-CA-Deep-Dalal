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Jagatjit Agri Engineering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5.5650984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300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0.31</v>
      </c>
      <c r="D14" s="21" t="inlineStr">
        <is>
          <t>crore</t>
        </is>
      </c>
    </row>
    <row r="15">
      <c r="B15" s="19" t="inlineStr">
        <is>
          <t>Price band - floor</t>
        </is>
      </c>
      <c r="C15" s="15" t="n">
        <v>131.69</v>
      </c>
      <c r="D15" s="21" t="inlineStr">
        <is>
          <t>Rs</t>
        </is>
      </c>
    </row>
    <row r="16">
      <c r="B16" s="19" t="inlineStr">
        <is>
          <t>Price band - cap</t>
        </is>
      </c>
      <c r="C16" s="15" t="n">
        <v>131.69</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200.164</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71.664</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413.97</v>
      </c>
      <c r="D25" s="21" t="inlineStr">
        <is>
          <t>Rs cr</t>
        </is>
      </c>
    </row>
    <row r="26">
      <c r="B26" s="19" t="inlineStr">
        <is>
          <t>Revenue - prior year</t>
        </is>
      </c>
      <c r="C26" s="15" t="n">
        <v>253.76</v>
      </c>
      <c r="D26" s="21" t="inlineStr">
        <is>
          <t>Rs cr</t>
        </is>
      </c>
    </row>
    <row r="27">
      <c r="B27" s="19" t="inlineStr">
        <is>
          <t>EBITDA (ties to issuer KPI table)</t>
        </is>
      </c>
      <c r="C27" s="15" t="n">
        <v>55.738</v>
      </c>
      <c r="D27" s="21" t="inlineStr">
        <is>
          <t>Rs cr</t>
        </is>
      </c>
    </row>
    <row r="28">
      <c r="B28" s="19" t="inlineStr">
        <is>
          <t>Depreciation &amp; amortisation</t>
        </is>
      </c>
      <c r="C28" s="15" t="n">
        <v>4.666</v>
      </c>
      <c r="D28" s="21" t="inlineStr">
        <is>
          <t>Rs cr</t>
        </is>
      </c>
    </row>
    <row r="29">
      <c r="B29" s="19" t="inlineStr">
        <is>
          <t>PAT</t>
        </is>
      </c>
      <c r="C29" s="15" t="n">
        <v>31.39</v>
      </c>
      <c r="D29" s="21" t="inlineStr">
        <is>
          <t>Rs cr</t>
        </is>
      </c>
    </row>
    <row r="30">
      <c r="B30" s="19" t="inlineStr">
        <is>
          <t>Net worth (pre-issue)</t>
        </is>
      </c>
      <c r="C30" s="15" t="n">
        <v>70.929</v>
      </c>
      <c r="D30" s="21" t="inlineStr">
        <is>
          <t>Rs cr</t>
        </is>
      </c>
    </row>
    <row r="31">
      <c r="B31" s="19" t="inlineStr">
        <is>
          <t>Net debt (borrowings - cash)</t>
        </is>
      </c>
      <c r="C31" s="15" t="n">
        <v>119.417</v>
      </c>
      <c r="D31" s="21" t="inlineStr">
        <is>
          <t>Rs cr</t>
        </is>
      </c>
    </row>
    <row r="32">
      <c r="B32" s="19" t="inlineStr">
        <is>
          <t>Net working capital</t>
        </is>
      </c>
      <c r="C32" s="15" t="n">
        <v>102.946</v>
      </c>
      <c r="D32" s="21" t="inlineStr">
        <is>
          <t>Rs cr</t>
        </is>
      </c>
      <c r="E32" s="17" t="inlineStr">
        <is>
          <t>Reconcile to Objects-chapter WC table</t>
        </is>
      </c>
    </row>
    <row r="33">
      <c r="B33" s="19" t="inlineStr">
        <is>
          <t>Net working capital - prior year</t>
        </is>
      </c>
      <c r="C33" s="15" t="n">
        <v>65.857</v>
      </c>
      <c r="D33" s="21" t="inlineStr">
        <is>
          <t>Rs cr</t>
        </is>
      </c>
    </row>
    <row r="34">
      <c r="B34" s="19" t="inlineStr">
        <is>
          <t>Capex (purchase of PPE + intangibles)</t>
        </is>
      </c>
      <c r="C34" s="15" t="n">
        <v>32.18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0.02</v>
      </c>
      <c r="D42" s="21" t="inlineStr"/>
    </row>
    <row r="43">
      <c r="B43" s="19" t="inlineStr">
        <is>
          <t>Pre-tax cost of debt</t>
        </is>
      </c>
      <c r="C43" s="16" t="n">
        <v>0.108</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0.8</v>
      </c>
      <c r="D48" s="21" t="inlineStr"/>
      <c r="E48" s="17" t="inlineStr">
        <is>
          <t>80% where no comparable listed peers</t>
        </is>
      </c>
    </row>
    <row r="49">
      <c r="B49" s="19" t="inlineStr">
        <is>
          <t>Relative weight - P/E</t>
        </is>
      </c>
      <c r="C49" s="16" t="n">
        <v>0.5</v>
      </c>
      <c r="D49" s="21" t="inlineStr"/>
    </row>
    <row r="50">
      <c r="B50" s="19" t="inlineStr">
        <is>
          <t>Relative weight - EV/EBITDA</t>
        </is>
      </c>
      <c r="C50" s="16" t="n">
        <v>0.5</v>
      </c>
      <c r="D50" s="21" t="inlineStr"/>
    </row>
    <row r="51">
      <c r="B51" s="19" t="inlineStr">
        <is>
          <t>Relative weight - P/B</t>
        </is>
      </c>
      <c r="C51" s="16" t="n">
        <v>0</v>
      </c>
      <c r="D51" s="21" t="inlineStr"/>
    </row>
    <row r="52">
      <c r="B52" s="19" t="inlineStr">
        <is>
          <t>Discount to peer median</t>
        </is>
      </c>
      <c r="C52" s="16" t="n">
        <v>0.3</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0.06</v>
      </c>
      <c r="F67" s="16" t="n">
        <v>0.18</v>
      </c>
      <c r="G67" s="16" t="n">
        <v>0.3</v>
      </c>
      <c r="H67" s="20" t="inlineStr">
        <is>
          <t>Like-for-like growth: proforma revenue Rs 2,074.48 m (FY24) to 2,537.60 m (FY25, +22.3%) to Rs 4,139.70 m (FY26, +63.1%) (p. 158). Industry: CARE puts soil-preparation and cultivation equipment at a 10.2% CAGR FY26-FY30 and the tractor market at 7.5% (CARE report, issuer-commissioned, pp. 208-209). Bear assumes growth near the industry rate after a 63% step-up (the FY26 jump includes a Rs 1,043.46 m, 25.21% customer, p. 261, and subsidy-linked demand, p. 56); Bull assumes the 20-state distribution (20 states vs 15, p. 158) keeps compounding.</t>
        </is>
      </c>
    </row>
    <row r="68">
      <c r="B68" t="inlineStr">
        <is>
          <t>Revenue growth Y2</t>
        </is>
      </c>
      <c r="C68" s="23">
        <f>INDEX(E68:G68,Assumptions!$C$5)</f>
        <v/>
      </c>
      <c r="E68" s="16" t="n">
        <v>0.05</v>
      </c>
      <c r="F68" s="16" t="n">
        <v>0.16</v>
      </c>
      <c r="G68" s="16" t="n">
        <v>0.25</v>
      </c>
      <c r="H68" s="20" t="inlineStr">
        <is>
          <t>[rationale + page]</t>
        </is>
      </c>
    </row>
    <row r="69">
      <c r="B69" t="inlineStr">
        <is>
          <t>Revenue growth Y3</t>
        </is>
      </c>
      <c r="C69" s="23">
        <f>INDEX(E69:G69,Assumptions!$C$5)</f>
        <v/>
      </c>
      <c r="E69" s="16" t="n">
        <v>0.05</v>
      </c>
      <c r="F69" s="16" t="n">
        <v>0.14</v>
      </c>
      <c r="G69" s="16" t="n">
        <v>0.2</v>
      </c>
      <c r="H69" s="20" t="inlineStr">
        <is>
          <t>[rationale + page]</t>
        </is>
      </c>
    </row>
    <row r="70">
      <c r="B70" t="inlineStr">
        <is>
          <t>Revenue growth Y4</t>
        </is>
      </c>
      <c r="C70" s="23">
        <f>INDEX(E70:G70,Assumptions!$C$5)</f>
        <v/>
      </c>
      <c r="E70" s="16" t="n">
        <v>0.04</v>
      </c>
      <c r="F70" s="16" t="n">
        <v>0.12</v>
      </c>
      <c r="G70" s="16" t="n">
        <v>0.16</v>
      </c>
      <c r="H70" s="20" t="inlineStr">
        <is>
          <t>[rationale + page]</t>
        </is>
      </c>
    </row>
    <row r="71">
      <c r="B71" t="inlineStr">
        <is>
          <t>Revenue growth Y5</t>
        </is>
      </c>
      <c r="C71" s="23">
        <f>INDEX(E71:G71,Assumptions!$C$5)</f>
        <v/>
      </c>
      <c r="E71" s="16" t="n">
        <v>0.04</v>
      </c>
      <c r="F71" s="16" t="n">
        <v>0.1</v>
      </c>
      <c r="G71" s="16" t="n">
        <v>0.12</v>
      </c>
      <c r="H71" s="20" t="inlineStr">
        <is>
          <t>[rationale + page]</t>
        </is>
      </c>
    </row>
    <row r="72">
      <c r="B72" t="inlineStr">
        <is>
          <t>EBITDA margin Y1-Y5</t>
        </is>
      </c>
      <c r="C72" s="23">
        <f>INDEX(E72:G72,Assumptions!$C$5)</f>
        <v/>
      </c>
      <c r="E72" s="16" t="n">
        <v>0.11</v>
      </c>
      <c r="F72" s="16" t="n">
        <v>0.13</v>
      </c>
      <c r="G72" s="16" t="n">
        <v>0.145</v>
      </c>
      <c r="H72" s="20" t="inlineStr">
        <is>
          <t>EBITDA margin 9.74% / 14.51% proforma FY24 / FY25 and 13.46% restated FY26 (p. 158); listed peers 13.27% (VST), 13.20% (Indo Farm), 13.17% (Escorts Kubota) in FY26 (p. 161). FY26 gross margin rose to 39.06% (proforma FY25 37.19%) but EBITDA margin fell 105 bp because commission (Rs 151.23 m), contract labour (Rs 172.45 m) and travel (Rs 80.77 m) grew with the direct-selling model (pp. 474-475). Bear sits below the FY26 level; Bull holds the proforma FY25 level.</t>
        </is>
      </c>
    </row>
    <row r="73">
      <c r="B73" t="inlineStr">
        <is>
          <t>Net working capital % revenue</t>
        </is>
      </c>
      <c r="C73" s="23">
        <f>INDEX(E73:G73,Assumptions!$C$5)</f>
        <v/>
      </c>
      <c r="E73" s="16" t="n">
        <v>0.27</v>
      </c>
      <c r="F73" s="16" t="n">
        <v>0.25</v>
      </c>
      <c r="G73" s="16" t="n">
        <v>0.22</v>
      </c>
      <c r="H73" s="20" t="inlineStr">
        <is>
          <t>Net working capital on the issuer's own table: Rs 1,029.46 m = 24.9% of FY26 revenue and Rs 658.57 m = 26.0% of proforma FY25 revenue (pp. 126, 158). Inventory days 132 (FY26) against 130 assumed in the issuer's plan; receivable days 45; payable days 106 falling to 95 (p. 128). Bear stays above FY26; Bull assumes the inventory build reverses toward 22%.</t>
        </is>
      </c>
    </row>
    <row r="74">
      <c r="B74" t="inlineStr">
        <is>
          <t>Terminal ROIC</t>
        </is>
      </c>
      <c r="C74" s="23">
        <f>INDEX(E74:G74,Assumptions!$C$5)</f>
        <v/>
      </c>
      <c r="E74" s="16" t="n">
        <v>0.12</v>
      </c>
      <c r="F74" s="16" t="n">
        <v>0.18</v>
      </c>
      <c r="G74" s="16" t="n">
        <v>0.24</v>
      </c>
      <c r="H74" s="20" t="inlineStr">
        <is>
          <t>Issuer-defined ROCE 31.10% FY26 and 35.59% FY25 (p. 158), but on a base that was small before the Rs 324.57 m business transfer; listed peers show ROCE of 13.28% (VST), 6.57% (Indo Farm), 11.10% (Escorts Kubota) (p. 161). Terminal ROIC is set from the top of the peer range (Bear 12%) to about three-quarters of the issuer's own FY26 figure (Bull 24%).</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VST Tillers Tractors Ltd</t>
        </is>
      </c>
      <c r="C5" s="20" t="inlineStr">
        <is>
          <t>Y</t>
        </is>
      </c>
      <c r="D5" s="20" t="inlineStr">
        <is>
          <t>Closest model among the three named: tillers and tractors for the same farm end-market; larger and branded, with net cash (net debt derived by us from the DRHP's EV/EBITDA, p. 156)</t>
        </is>
      </c>
      <c r="E5" s="20" t="inlineStr">
        <is>
          <t>Consolidated</t>
        </is>
      </c>
      <c r="F5" s="15" t="n">
        <v>4039.9</v>
      </c>
      <c r="G5" s="15" t="n">
        <v>0.86436</v>
      </c>
      <c r="H5" s="15" t="n">
        <v>-46</v>
      </c>
      <c r="I5" s="15" t="n">
        <v>1240.357</v>
      </c>
      <c r="J5" s="15" t="n">
        <v>164.639</v>
      </c>
      <c r="K5" s="15" t="n">
        <v>104.727</v>
      </c>
      <c r="L5" s="15" t="n">
        <v>1092.518</v>
      </c>
      <c r="M5" s="16" t="n">
        <v>0.247</v>
      </c>
      <c r="N5" s="13">
        <f>IF(F5="","",F5*G5)</f>
        <v/>
      </c>
      <c r="O5" s="13">
        <f>IF(N5="","",N5+H5)</f>
        <v/>
      </c>
      <c r="P5" s="27">
        <f>IF(AND(C5="Y",N(K5)&gt;0),N5/K5,"")</f>
        <v/>
      </c>
      <c r="Q5" s="27">
        <f>IF(AND(C5="Y",N(J5)&gt;0),O5/J5,"")</f>
        <v/>
      </c>
      <c r="R5" s="27">
        <f>IF(AND(C5="Y",N(L5)&gt;0),N5/L5,"")</f>
        <v/>
      </c>
      <c r="S5" s="10">
        <f>IF(N(I5)&gt;0,J5/I5,"")</f>
        <v/>
      </c>
      <c r="T5" s="10">
        <f>IF(N(L5)&gt;0,K5/L5,"")</f>
        <v/>
      </c>
    </row>
    <row r="6">
      <c r="B6" s="20" t="inlineStr">
        <is>
          <t>Indo Farm Equipment Ltd</t>
        </is>
      </c>
      <c r="C6" s="20" t="inlineStr">
        <is>
          <t>Y</t>
        </is>
      </c>
      <c r="D6" s="20" t="inlineStr">
        <is>
          <t>Tractors and cranes, similar size to the issuer; DRHP-named peer (p. 156); net debt derived by us from EV/EBITDA</t>
        </is>
      </c>
      <c r="E6" s="20" t="inlineStr">
        <is>
          <t>Consolidated</t>
        </is>
      </c>
      <c r="F6" s="15" t="n">
        <v>141.95</v>
      </c>
      <c r="G6" s="15" t="n">
        <v>4.804</v>
      </c>
      <c r="H6" s="15" t="n">
        <v>72.40000000000001</v>
      </c>
      <c r="I6" s="15" t="n">
        <v>440.021</v>
      </c>
      <c r="J6" s="15" t="n">
        <v>58.077</v>
      </c>
      <c r="K6" s="15" t="n">
        <v>24.694</v>
      </c>
      <c r="L6" s="15" t="n">
        <v>547.622</v>
      </c>
      <c r="M6" s="16" t="n">
        <v>0.1364</v>
      </c>
      <c r="N6" s="13">
        <f>IF(F6="","",F6*G6)</f>
        <v/>
      </c>
      <c r="O6" s="13">
        <f>IF(N6="","",N6+H6)</f>
        <v/>
      </c>
      <c r="P6" s="27">
        <f>IF(AND(C6="Y",N(K6)&gt;0),N6/K6,"")</f>
        <v/>
      </c>
      <c r="Q6" s="27">
        <f>IF(AND(C6="Y",N(J6)&gt;0),O6/J6,"")</f>
        <v/>
      </c>
      <c r="R6" s="27">
        <f>IF(AND(C6="Y",N(L6)&gt;0),N6/L6,"")</f>
        <v/>
      </c>
      <c r="S6" s="10">
        <f>IF(N(I6)&gt;0,J6/I6,"")</f>
        <v/>
      </c>
      <c r="T6" s="10">
        <f>IF(N(L6)&gt;0,K6/L6,"")</f>
        <v/>
      </c>
    </row>
    <row r="7">
      <c r="B7" s="20" t="inlineStr">
        <is>
          <t>Escorts Kubota Ltd</t>
        </is>
      </c>
      <c r="C7" s="20" t="inlineStr">
        <is>
          <t>N</t>
        </is>
      </c>
      <c r="D7" s="20" t="inlineStr">
        <is>
          <t>Large tractor and construction-equipment OEM, about 28x the issuer's revenue; shown for reference, excluded; net debt derived by us</t>
        </is>
      </c>
      <c r="E7" s="20" t="inlineStr">
        <is>
          <t>Consolidated</t>
        </is>
      </c>
      <c r="F7" s="15" t="n">
        <v>2900.15</v>
      </c>
      <c r="G7" s="15" t="n">
        <v>11.0022</v>
      </c>
      <c r="H7" s="15" t="n">
        <v>-261.9</v>
      </c>
      <c r="I7" s="15" t="n">
        <v>11540.26</v>
      </c>
      <c r="J7" s="15" t="n">
        <v>1519.89</v>
      </c>
      <c r="K7" s="15" t="n">
        <v>1366.42</v>
      </c>
      <c r="L7" s="15" t="n">
        <v>12258.67</v>
      </c>
      <c r="M7" s="16" t="n">
        <v>0.1265</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2026-10-15T13:36:06Z</dcterms:created>
  <dcterms:modified xsi:type="dcterms:W3CDTF">2026-10-15T13:36:06Z</dcterms:modified>
</cp:coreProperties>
</file>