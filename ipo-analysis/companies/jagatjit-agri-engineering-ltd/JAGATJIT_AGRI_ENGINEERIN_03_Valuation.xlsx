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131.69</v>
      </c>
      <c r="D15" s="21" t="inlineStr">
        <is>
          <t>Rs</t>
        </is>
      </c>
    </row>
    <row r="16">
      <c r="B16" s="19" t="inlineStr">
        <is>
          <t>Price band - cap</t>
        </is>
      </c>
      <c r="C16" s="15" t="n">
        <v>131.69</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70.474</v>
      </c>
      <c r="D30" s="21" t="inlineStr">
        <is>
          <t>Rs cr</t>
        </is>
      </c>
    </row>
    <row r="31">
      <c r="B31" s="19" t="inlineStr">
        <is>
          <t>Net debt (borrowings - cash)</t>
        </is>
      </c>
      <c r="C31" s="15" t="n">
        <v>119.417</v>
      </c>
      <c r="D31" s="21" t="inlineStr">
        <is>
          <t>Rs cr</t>
        </is>
      </c>
    </row>
    <row r="32">
      <c r="B32" s="19" t="inlineStr">
        <is>
          <t>Net working capital</t>
        </is>
      </c>
      <c r="C32" s="15" t="n">
        <v>83.852</v>
      </c>
      <c r="D32" s="21" t="inlineStr">
        <is>
          <t>Rs cr</t>
        </is>
      </c>
      <c r="E32" s="17" t="inlineStr">
        <is>
          <t>Reconcile to Objects-chapter WC table</t>
        </is>
      </c>
    </row>
    <row r="33">
      <c r="B33" s="19" t="inlineStr">
        <is>
          <t>Net working capital - prior year</t>
        </is>
      </c>
      <c r="C33" s="15" t="n">
        <v>52.023</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0.03</v>
      </c>
      <c r="D42" s="21" t="inlineStr"/>
    </row>
    <row r="43">
      <c r="B43" s="19" t="inlineStr">
        <is>
          <t>Pre-tax cost of debt</t>
        </is>
      </c>
      <c r="C43" s="16" t="n">
        <v>0.095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0.25</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v>
      </c>
      <c r="F67" s="16" t="n">
        <v>0.22</v>
      </c>
      <c r="G67" s="16" t="n">
        <v>0.32</v>
      </c>
      <c r="H67" s="20" t="inlineStr">
        <is>
          <t>Reported FY26 revenue Rs 4,139.70 m is 4.3x FY25 only because of the 01-Apr-2025 business acquisition; on the proforma base (Rs 2,537.60 m, p. 92) growth was +63.1%, and proforma FY25 was +22.3% on FY24 (Rs 2,074.48 m). Units sold FY26 19,111 against proforma FY25 12,234 (+56.2%, p. 157). Installed capacity is 23,875 units against 18,219 produced (p. 267) and the Dehlon expansion adds 29,000 units (p. 136). Bear assumes growth falls back to the FY25 proforma pace and the expansion is not funded; Bull assumes the added capacity is partly absorbed.</t>
        </is>
      </c>
    </row>
    <row r="68">
      <c r="B68" t="inlineStr">
        <is>
          <t>Revenue growth Y2</t>
        </is>
      </c>
      <c r="C68" s="23">
        <f>INDEX(E68:G68,Assumptions!$C$5)</f>
        <v/>
      </c>
      <c r="E68" s="16" t="n">
        <v>0.08</v>
      </c>
      <c r="F68" s="16" t="n">
        <v>0.18</v>
      </c>
      <c r="G68" s="16" t="n">
        <v>0.26</v>
      </c>
      <c r="H68" s="20" t="inlineStr">
        <is>
          <t>[rationale + page]</t>
        </is>
      </c>
    </row>
    <row r="69">
      <c r="B69" t="inlineStr">
        <is>
          <t>Revenue growth Y3</t>
        </is>
      </c>
      <c r="C69" s="23">
        <f>INDEX(E69:G69,Assumptions!$C$5)</f>
        <v/>
      </c>
      <c r="E69" s="16" t="n">
        <v>0.07000000000000001</v>
      </c>
      <c r="F69" s="16" t="n">
        <v>0.15</v>
      </c>
      <c r="G69" s="16" t="n">
        <v>0.21</v>
      </c>
      <c r="H69" s="20" t="inlineStr">
        <is>
          <t>[rationale + page]</t>
        </is>
      </c>
    </row>
    <row r="70">
      <c r="B70" t="inlineStr">
        <is>
          <t>Revenue growth Y4</t>
        </is>
      </c>
      <c r="C70" s="23">
        <f>INDEX(E70:G70,Assumptions!$C$5)</f>
        <v/>
      </c>
      <c r="E70" s="16" t="n">
        <v>0.06</v>
      </c>
      <c r="F70" s="16" t="n">
        <v>0.12</v>
      </c>
      <c r="G70" s="16" t="n">
        <v>0.17</v>
      </c>
      <c r="H70" s="20" t="inlineStr">
        <is>
          <t>[rationale + page]</t>
        </is>
      </c>
    </row>
    <row r="71">
      <c r="B71" t="inlineStr">
        <is>
          <t>Revenue growth Y5</t>
        </is>
      </c>
      <c r="C71" s="23">
        <f>INDEX(E71:G71,Assumptions!$C$5)</f>
        <v/>
      </c>
      <c r="E71" s="16" t="n">
        <v>0.05</v>
      </c>
      <c r="F71" s="16" t="n">
        <v>0.1</v>
      </c>
      <c r="G71" s="16" t="n">
        <v>0.14</v>
      </c>
      <c r="H71" s="20" t="inlineStr">
        <is>
          <t>[rationale + page]</t>
        </is>
      </c>
    </row>
    <row r="72">
      <c r="B72" t="inlineStr">
        <is>
          <t>EBITDA margin Y1-Y5</t>
        </is>
      </c>
      <c r="C72" s="23">
        <f>INDEX(E72:G72,Assumptions!$C$5)</f>
        <v/>
      </c>
      <c r="E72" s="16" t="n">
        <v>0.11</v>
      </c>
      <c r="F72" s="16" t="n">
        <v>0.13</v>
      </c>
      <c r="G72" s="16" t="n">
        <v>0.145</v>
      </c>
      <c r="H72" s="20" t="inlineStr">
        <is>
          <t>EBITDA margin (issuer KPI) 13.46% FY26, 14.51% proforma FY25, 9.74% proforma FY24, 11.64% / 13.64% restated FY25 / FY24 (p. 157). Gross margin 39.06% FY26 includes internalised supplier margin (SMW II was the Company's largest supplier at Rs 419.46 m in FY25, p. 95). Bear 11.0% sits between the FY24 proforma trough and FY25 restated; Bull 14.5% equals proforma FY25. Peers FY26: VST 13.27%, Indo Farm 13.20%, Escorts Kubota 13.17% (p. 161).</t>
        </is>
      </c>
    </row>
    <row r="73">
      <c r="B73" t="inlineStr">
        <is>
          <t>Net working capital % revenue</t>
        </is>
      </c>
      <c r="C73" s="23">
        <f>INDEX(E73:G73,Assumptions!$C$5)</f>
        <v/>
      </c>
      <c r="E73" s="16" t="n">
        <v>0.22</v>
      </c>
      <c r="F73" s="16" t="n">
        <v>0.2</v>
      </c>
      <c r="G73" s="16" t="n">
        <v>0.18</v>
      </c>
      <c r="H73" s="20" t="inlineStr">
        <is>
          <t>Trade NWC (inventory + receivables - payables) is 20.3% of FY26 revenue (Rs 838.52 m, pp. 85-86) and 20.5% of proforma FY25 (Rs 520.23 m, p. 91); the issuer's own working-capital table shows requirement Rs 1,029.46 m at FY26 (p. 126). Business is receivable- and inventory-heavy with State subsidy delays (p. 57).</t>
        </is>
      </c>
    </row>
    <row r="74">
      <c r="B74" t="inlineStr">
        <is>
          <t>Terminal ROIC</t>
        </is>
      </c>
      <c r="C74" s="23">
        <f>INDEX(E74:G74,Assumptions!$C$5)</f>
        <v/>
      </c>
      <c r="E74" s="16" t="n">
        <v>0.14</v>
      </c>
      <c r="F74" s="16" t="n">
        <v>0.18</v>
      </c>
      <c r="G74" s="16" t="n">
        <v>0.22</v>
      </c>
      <c r="H74" s="20" t="inlineStr">
        <is>
          <t>Issuer RoCE 31.10% FY26 and 31.55% proforma FY25 (p. 157), struck on a capital base that excludes acquisition-date book values. Terminal ROIC is set well below that at 14% / 18% / 22%; peers' RoCE FY26 was 13.28% (VST), 6.57% (Indo Farm) and 11.10% (Escorts Kubota) (p. 161).</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t>
        </is>
      </c>
      <c r="C5" s="20" t="inlineStr">
        <is>
          <t>Y</t>
        </is>
      </c>
      <c r="D5" s="20" t="inlineStr">
        <is>
          <t>Tillers and tractors; DRHP's own peer, structurally different (OEM of self-propelled machines, 28 states)</t>
        </is>
      </c>
      <c r="E5" s="20" t="inlineStr">
        <is>
          <t>Consolidated</t>
        </is>
      </c>
      <c r="F5" s="15" t="n">
        <v>4039.9</v>
      </c>
      <c r="G5" s="15" t="n">
        <v>0.86441</v>
      </c>
      <c r="H5" s="15" t="n">
        <v>1.91</v>
      </c>
      <c r="I5" s="15" t="n">
        <v>1240.357</v>
      </c>
      <c r="J5" s="15" t="n">
        <v>164.639</v>
      </c>
      <c r="K5" s="15" t="n">
        <v>104.727</v>
      </c>
      <c r="L5" s="15" t="n">
        <v>1092.518</v>
      </c>
      <c r="M5" s="16" t="n">
        <v>0.2472</v>
      </c>
      <c r="N5" s="13">
        <f>IF(F5="","",F5*G5)</f>
        <v/>
      </c>
      <c r="O5" s="13">
        <f>IF(N5="","",N5+H5)</f>
        <v/>
      </c>
      <c r="P5" s="27">
        <f>IF(AND(C5="Y",N(K5)&gt;0),N5/K5,"")</f>
        <v/>
      </c>
      <c r="Q5" s="27">
        <f>IF(AND(C5="Y",N(J5)&gt;0),O5/J5,"")</f>
        <v/>
      </c>
      <c r="R5" s="27">
        <f>IF(AND(C5="Y",N(L5)&gt;0),N5/L5,"")</f>
        <v/>
      </c>
      <c r="S5" s="10">
        <f>IF(N(I5)&gt;0,J5/I5,"")</f>
        <v/>
      </c>
      <c r="T5" s="10">
        <f>IF(N(L5)&gt;0,K5/L5,"")</f>
        <v/>
      </c>
    </row>
    <row r="6">
      <c r="B6" s="20" t="inlineStr">
        <is>
          <t>Indo Farm Equipment Ltd</t>
        </is>
      </c>
      <c r="C6" s="20" t="inlineStr">
        <is>
          <t>Y</t>
        </is>
      </c>
      <c r="D6" s="20" t="inlineStr">
        <is>
          <t>Tractors and cranes; DRHP's own peer, structurally different</t>
        </is>
      </c>
      <c r="E6" s="20" t="inlineStr">
        <is>
          <t>Consolidated</t>
        </is>
      </c>
      <c r="F6" s="15" t="n">
        <v>141.95</v>
      </c>
      <c r="G6" s="15" t="n">
        <v>4.8044</v>
      </c>
      <c r="H6" s="15" t="n">
        <v>148.725</v>
      </c>
      <c r="I6" s="15" t="n">
        <v>440.021</v>
      </c>
      <c r="J6" s="15" t="n">
        <v>58.077</v>
      </c>
      <c r="K6" s="15" t="n">
        <v>24.694</v>
      </c>
      <c r="L6" s="15" t="n">
        <v>547.622</v>
      </c>
      <c r="M6" s="16" t="n">
        <v>0.1365</v>
      </c>
      <c r="N6" s="13">
        <f>IF(F6="","",F6*G6)</f>
        <v/>
      </c>
      <c r="O6" s="13">
        <f>IF(N6="","",N6+H6)</f>
        <v/>
      </c>
      <c r="P6" s="27">
        <f>IF(AND(C6="Y",N(K6)&gt;0),N6/K6,"")</f>
        <v/>
      </c>
      <c r="Q6" s="27">
        <f>IF(AND(C6="Y",N(J6)&gt;0),O6/J6,"")</f>
        <v/>
      </c>
      <c r="R6" s="27">
        <f>IF(AND(C6="Y",N(L6)&gt;0),N6/L6,"")</f>
        <v/>
      </c>
      <c r="S6" s="10">
        <f>IF(N(I6)&gt;0,J6/I6,"")</f>
        <v/>
      </c>
      <c r="T6" s="10">
        <f>IF(N(L6)&gt;0,K6/L6,"")</f>
        <v/>
      </c>
    </row>
    <row r="7">
      <c r="B7" s="20" t="inlineStr">
        <is>
          <t>Escorts Kubota Ltd</t>
        </is>
      </c>
      <c r="C7" s="20" t="inlineStr">
        <is>
          <t>Y</t>
        </is>
      </c>
      <c r="D7" s="20" t="inlineStr">
        <is>
          <t>Tractors and construction equipment; DRHP's own peer, far larger and structurally different</t>
        </is>
      </c>
      <c r="E7" s="20" t="inlineStr">
        <is>
          <t>Consolidated</t>
        </is>
      </c>
      <c r="F7" s="15" t="n">
        <v>2900.15</v>
      </c>
      <c r="G7" s="15" t="n">
        <v>10.9992</v>
      </c>
      <c r="H7" s="15" t="n">
        <v>161.89</v>
      </c>
      <c r="I7" s="15" t="n">
        <v>11540.26</v>
      </c>
      <c r="J7" s="15" t="n">
        <v>1519.89</v>
      </c>
      <c r="K7" s="15" t="n">
        <v>1366.42</v>
      </c>
      <c r="L7" s="15" t="n">
        <v>12255.87</v>
      </c>
      <c r="M7" s="16" t="n">
        <v>0.1265</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2026-10-09T13:36:34Z</dcterms:created>
  <dcterms:modified xsi:type="dcterms:W3CDTF">2026-10-09T13:36:34Z</dcterms:modified>
</cp:coreProperties>
</file>