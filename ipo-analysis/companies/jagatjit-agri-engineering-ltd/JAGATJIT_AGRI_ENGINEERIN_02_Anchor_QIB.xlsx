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340.82</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(18,400 shares)</t>
        </is>
      </c>
      <c r="C11" s="11" t="n">
        <v>0.184</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110; confirm in RHP</t>
        </is>
      </c>
    </row>
    <row r="12">
      <c r="B12" s="18" t="inlineStr">
        <is>
          <t>Promoter shareholding above 20% post-issue (after OFS of 31.00 lakh), at reference price</t>
        </is>
      </c>
      <c r="C12" s="11" t="n">
        <v>368.46</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 116; share count depends on price band</t>
        </is>
      </c>
    </row>
    <row r="13">
      <c r="B13" s="18" t="inlineStr">
        <is>
          <t>Promoter minimum contribution (20% of post-issue capital), at reference price</t>
        </is>
      </c>
      <c r="C13" s="11" t="n">
        <v>156.86</v>
      </c>
      <c r="D13" s="15" t="n">
        <v>540</v>
      </c>
      <c r="E13" s="24">
        <f>'Inputs'!$C$32+D13</f>
        <v/>
      </c>
      <c r="F13" s="19">
        <f>$C$5+SUMIF($E$9:$E$15,"&lt;"&amp;E13,$C$9:$C$15)</f>
        <v/>
      </c>
      <c r="G13" s="22">
        <f>IF(F13&gt;0,C13/F13,0)</f>
        <v/>
      </c>
      <c r="H13" s="19">
        <f>SUMIF($E$9:$E$15,"&lt;="&amp;E13,$C$9:$C$15)</f>
        <v/>
      </c>
      <c r="I13" s="20">
        <f>IF(C13=0,"-",IF(G13&gt;0.25,"RED: large cliff vs float",IF(G13&gt;0.1,"AMBER: watch","OK")))</f>
        <v/>
      </c>
      <c r="J13" s="10" t="inlineStr">
        <is>
          <t>p. 116; share count depends on price band</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2026-10-16T13:36:52Z</dcterms:created>
  <dcterms:modified xmlns:dcterms="http://purl.org/dc/terms/" xmlns:xsi="http://www.w3.org/2001/XMLSchema-instance" xsi:type="dcterms:W3CDTF">2026-10-16T13:36:52Z</dcterms:modified>
</cp:coreProperties>
</file>