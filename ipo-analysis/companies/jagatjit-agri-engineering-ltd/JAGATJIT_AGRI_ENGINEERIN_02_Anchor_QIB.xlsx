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Jagatjit Agri Engineering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340.82</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0.75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0.1</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minimum contribution (20% of post-offer capital at the Rs 131.69 reference)</t>
        </is>
      </c>
      <c r="C11" s="11" t="n">
        <v>156.9</v>
      </c>
      <c r="D11" s="15" t="n">
        <v>548</v>
      </c>
      <c r="E11" s="24">
        <f>'Inputs'!$C$32+D11</f>
        <v/>
      </c>
      <c r="F11" s="19">
        <f>$C$5+SUMIF($E$9:$E$15,"&lt;"&amp;E11,$C$9:$C$15)</f>
        <v/>
      </c>
      <c r="G11" s="22">
        <f>IF(F11&gt;0,C11/F11,0)</f>
        <v/>
      </c>
      <c r="H11" s="19">
        <f>SUMIF($E$9:$E$15,"&lt;="&amp;E11,$C$9:$C$15)</f>
        <v/>
      </c>
      <c r="I11" s="20">
        <f>IF(C11=0,"-",IF(G11&gt;0.25,"RED: large cliff vs float",IF(G11&gt;0.1,"AMBER: watch","OK")))</f>
        <v/>
      </c>
      <c r="J11" s="10" t="inlineStr">
        <is>
          <t>p. 116; 18 months</t>
        </is>
      </c>
    </row>
    <row r="12">
      <c r="B12" s="18" t="inlineStr">
        <is>
          <t>Promoter holding above the minimum contribution, after the OFS</t>
        </is>
      </c>
      <c r="C12" s="11" t="n">
        <v>368.5</v>
      </c>
      <c r="D12" s="15" t="n">
        <v>180</v>
      </c>
      <c r="E12" s="24">
        <f>'Inputs'!$C$32+D12</f>
        <v/>
      </c>
      <c r="F12" s="19">
        <f>$C$5+SUMIF($E$9:$E$15,"&lt;"&amp;E12,$C$9:$C$15)</f>
        <v/>
      </c>
      <c r="G12" s="22">
        <f>IF(F12&gt;0,C12/F12,0)</f>
        <v/>
      </c>
      <c r="H12" s="19">
        <f>SUMIF($E$9:$E$15,"&lt;="&amp;E12,$C$9:$C$15)</f>
        <v/>
      </c>
      <c r="I12" s="20">
        <f>IF(C12=0,"-",IF(G12&gt;0.25,"RED: large cliff vs float",IF(G12&gt;0.1,"AMBER: watch","OK")))</f>
        <v/>
      </c>
      <c r="J12" s="10" t="inlineStr">
        <is>
          <t>p. 116; 6 months; confirm in RHP</t>
        </is>
      </c>
    </row>
    <row r="13">
      <c r="B13" s="18" t="inlineStr">
        <is>
          <t>Pre-issue non-promoter holders (promoter-group members and one other, 18,400 shares)</t>
        </is>
      </c>
      <c r="C13" s="11" t="n">
        <v>0.184</v>
      </c>
      <c r="D13" s="15" t="n">
        <v>180</v>
      </c>
      <c r="E13" s="24">
        <f>'Inputs'!$C$32+D13</f>
        <v/>
      </c>
      <c r="F13" s="19">
        <f>$C$5+SUMIF($E$9:$E$15,"&lt;"&amp;E13,$C$9:$C$15)</f>
        <v/>
      </c>
      <c r="G13" s="22">
        <f>IF(F13&gt;0,C13/F13,0)</f>
        <v/>
      </c>
      <c r="H13" s="19">
        <f>SUMIF($E$9:$E$15,"&lt;="&amp;E13,$C$9:$C$15)</f>
        <v/>
      </c>
      <c r="I13" s="20">
        <f>IF(C13=0,"-",IF(G13&gt;0.25,"RED: large cliff vs float",IF(G13&gt;0.1,"AMBER: watch","OK")))</f>
        <v/>
      </c>
      <c r="J13" s="10" t="inlineStr">
        <is>
          <t>pp. 111, 117; 6 months</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2026-10-15T13:36:06Z</dcterms:created>
  <dcterms:modified xsi:type="dcterms:W3CDTF">2026-10-15T13:36:06Z</dcterms:modified>
</cp:coreProperties>
</file>