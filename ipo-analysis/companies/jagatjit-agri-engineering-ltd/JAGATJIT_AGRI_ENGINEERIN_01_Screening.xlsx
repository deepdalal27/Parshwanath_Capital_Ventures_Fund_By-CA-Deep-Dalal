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Jagatjit Agri Engineering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46290</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Keynote Financial Services Limited</t>
        </is>
      </c>
      <c r="D14" s="8" t="inlineStr"/>
      <c r="E14" s="14" t="inlineStr">
        <is>
          <t>Compile BRLM track record (CIR/MIRSD/1/2012)</t>
        </is>
      </c>
    </row>
    <row r="15">
      <c r="B15" s="6" t="inlineStr">
        <is>
          <t>Figures from outside the offer document</t>
        </is>
      </c>
      <c r="C15" s="7" t="inlineStr">
        <is>
          <t>none (all figures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48.86</v>
      </c>
      <c r="D5" s="16" t="n">
        <v>95.926</v>
      </c>
      <c r="E5" s="16" t="n">
        <v>413.97</v>
      </c>
      <c r="F5" s="16" t="n"/>
      <c r="G5" s="7" t="inlineStr">
        <is>
          <t>p. 87</t>
        </is>
      </c>
    </row>
    <row r="6">
      <c r="B6" t="inlineStr">
        <is>
          <t>Other income</t>
        </is>
      </c>
      <c r="C6" s="16" t="n">
        <v>0.231</v>
      </c>
      <c r="D6" s="16" t="n">
        <v>0.234</v>
      </c>
      <c r="E6" s="16" t="n">
        <v>3.503</v>
      </c>
      <c r="F6" s="16" t="n"/>
      <c r="G6" s="7" t="inlineStr">
        <is>
          <t>p. 87</t>
        </is>
      </c>
    </row>
    <row r="7">
      <c r="B7" t="inlineStr">
        <is>
          <t>Profit before tax</t>
        </is>
      </c>
      <c r="C7" s="16" t="n">
        <v>3.832</v>
      </c>
      <c r="D7" s="16" t="n">
        <v>8.02</v>
      </c>
      <c r="E7" s="16" t="n">
        <v>44.412</v>
      </c>
      <c r="F7" s="16" t="n"/>
      <c r="G7" s="7" t="inlineStr">
        <is>
          <t>p. 87</t>
        </is>
      </c>
    </row>
    <row r="8">
      <c r="B8" t="inlineStr">
        <is>
          <t>Current tax</t>
        </is>
      </c>
      <c r="C8" s="16" t="n">
        <v>0.384</v>
      </c>
      <c r="D8" s="16" t="n">
        <v>1.295</v>
      </c>
      <c r="E8" s="16" t="n">
        <v>13.03</v>
      </c>
      <c r="F8" s="16" t="n"/>
      <c r="G8" s="7" t="inlineStr">
        <is>
          <t>p. 87</t>
        </is>
      </c>
    </row>
    <row r="9">
      <c r="B9" t="inlineStr">
        <is>
          <t>Deferred tax</t>
        </is>
      </c>
      <c r="C9" s="16" t="n">
        <v>0.946</v>
      </c>
      <c r="D9" s="16" t="n">
        <v>0.179</v>
      </c>
      <c r="E9" s="16" t="n">
        <v>-0.008999999999999999</v>
      </c>
      <c r="F9" s="16" t="n"/>
      <c r="G9" s="7" t="inlineStr">
        <is>
          <t>p. 87</t>
        </is>
      </c>
    </row>
    <row r="10">
      <c r="B10" t="inlineStr">
        <is>
          <t>PAT</t>
        </is>
      </c>
      <c r="C10" s="16" t="n">
        <v>2.502</v>
      </c>
      <c r="D10" s="16" t="n">
        <v>6.547</v>
      </c>
      <c r="E10" s="16" t="n">
        <v>31.39</v>
      </c>
      <c r="F10" s="16" t="n"/>
      <c r="G10" s="7" t="inlineStr">
        <is>
          <t>p. 87</t>
        </is>
      </c>
    </row>
    <row r="11">
      <c r="B11" t="inlineStr">
        <is>
          <t>Cash flow from operations</t>
        </is>
      </c>
      <c r="C11" s="16" t="n">
        <v>12.493</v>
      </c>
      <c r="D11" s="16" t="n">
        <v>13.015</v>
      </c>
      <c r="E11" s="16" t="n">
        <v>2.685</v>
      </c>
      <c r="F11" s="16" t="n"/>
      <c r="G11" s="7" t="inlineStr">
        <is>
          <t>p. 88</t>
        </is>
      </c>
    </row>
    <row r="12">
      <c r="B12" t="inlineStr">
        <is>
          <t>Related-party sales</t>
        </is>
      </c>
      <c r="C12" s="16" t="n">
        <v>10.999</v>
      </c>
      <c r="D12" s="16" t="n">
        <v>23.522</v>
      </c>
      <c r="E12" s="16" t="n">
        <v>7</v>
      </c>
      <c r="F12" s="16" t="n"/>
      <c r="G12" s="7" t="inlineStr">
        <is>
          <t>pp. 94-95 (sales to Saron Mechanical Works I/II in FY24-25, per the table on p. 95)</t>
        </is>
      </c>
    </row>
    <row r="13">
      <c r="B13" t="inlineStr">
        <is>
          <t>Related-party purchases (incl. capex)</t>
        </is>
      </c>
      <c r="C13" s="16" t="n">
        <v>25.881</v>
      </c>
      <c r="D13" s="16" t="n">
        <v>44.624</v>
      </c>
      <c r="E13" s="16" t="n">
        <v>16.491</v>
      </c>
      <c r="F13" s="16" t="n"/>
      <c r="G13" s="7" t="inlineStr">
        <is>
          <t>pp. 94-95 (purchases from Saron Mechanical Works I/II in FY24-25, per the table on p. 95)</t>
        </is>
      </c>
    </row>
    <row r="14">
      <c r="B14" t="inlineStr">
        <is>
          <t>Net worth</t>
        </is>
      </c>
      <c r="C14" s="16" t="n">
        <v>0.532</v>
      </c>
      <c r="D14" s="16" t="n">
        <v>7.078</v>
      </c>
      <c r="E14" s="16" t="n">
        <v>70.929</v>
      </c>
      <c r="F14" s="16" t="n"/>
      <c r="G14" s="7" t="inlineStr">
        <is>
          <t>pp. 85-86</t>
        </is>
      </c>
    </row>
    <row r="15">
      <c r="B15" t="inlineStr">
        <is>
          <t>Trade receivables</t>
        </is>
      </c>
      <c r="C15" s="16" t="n">
        <v>5.285</v>
      </c>
      <c r="D15" s="16" t="n">
        <v>24.472</v>
      </c>
      <c r="E15" s="16" t="n">
        <v>61.295</v>
      </c>
      <c r="F15" s="16" t="n"/>
      <c r="G15" s="7" t="inlineStr">
        <is>
          <t>p. 85</t>
        </is>
      </c>
    </row>
    <row r="16">
      <c r="B16" t="inlineStr">
        <is>
          <t>Inventory</t>
        </is>
      </c>
      <c r="C16" s="16" t="n">
        <v>13.023</v>
      </c>
      <c r="D16" s="16" t="n">
        <v>12.941</v>
      </c>
      <c r="E16" s="16" t="n">
        <v>113.711</v>
      </c>
      <c r="F16" s="16" t="n"/>
      <c r="G16" s="7" t="inlineStr">
        <is>
          <t>p. 85</t>
        </is>
      </c>
    </row>
    <row r="17">
      <c r="B17" t="inlineStr">
        <is>
          <t>Trade payables</t>
        </is>
      </c>
      <c r="C17" s="16" t="n">
        <v>20.141</v>
      </c>
      <c r="D17" s="16" t="n">
        <v>46.043</v>
      </c>
      <c r="E17" s="16" t="n">
        <v>91.154</v>
      </c>
      <c r="F17" s="16" t="n"/>
      <c r="G17" s="7" t="inlineStr">
        <is>
          <t>pp. 85-86</t>
        </is>
      </c>
    </row>
    <row r="18">
      <c r="B18" t="inlineStr">
        <is>
          <t>Contingent liabilities</t>
        </is>
      </c>
      <c r="C18" s="16" t="n"/>
      <c r="D18" s="16" t="n"/>
      <c r="E18" s="16" t="n">
        <v>7.17</v>
      </c>
      <c r="F18" s="16" t="n"/>
      <c r="G18" s="7" t="inlineStr">
        <is>
          <t>p. 93</t>
        </is>
      </c>
    </row>
    <row r="19">
      <c r="B19" t="inlineStr">
        <is>
          <t>Goodwill + intangibles</t>
        </is>
      </c>
      <c r="C19" s="16" t="n">
        <v>0</v>
      </c>
      <c r="D19" s="16" t="n">
        <v>0</v>
      </c>
      <c r="E19" s="16" t="n">
        <v>0.455</v>
      </c>
      <c r="F19" s="16" t="n"/>
      <c r="G19" s="7" t="inlineStr">
        <is>
          <t>p. 85</t>
        </is>
      </c>
    </row>
    <row r="20">
      <c r="B20" t="inlineStr">
        <is>
          <t>Revaluation reserve</t>
        </is>
      </c>
      <c r="C20" s="16" t="n">
        <v>0</v>
      </c>
      <c r="D20" s="16" t="n">
        <v>0</v>
      </c>
      <c r="E20" s="16" t="n">
        <v>0</v>
      </c>
      <c r="F20" s="16" t="n"/>
      <c r="G20" s="7" t="inlineStr"/>
    </row>
    <row r="22">
      <c r="B22" s="3" t="inlineStr">
        <is>
          <t>Single-period inputs (latest)</t>
        </is>
      </c>
    </row>
    <row r="23">
      <c r="B23" t="inlineStr">
        <is>
          <t>Top customer % of revenue</t>
        </is>
      </c>
      <c r="E23" s="17" t="n">
        <v>0.2521</v>
      </c>
    </row>
    <row r="24">
      <c r="B24" t="inlineStr">
        <is>
          <t>Top-10 customers % of revenue</t>
        </is>
      </c>
      <c r="E24" s="17" t="n">
        <v>0.5004</v>
      </c>
    </row>
    <row r="25">
      <c r="B25" t="inlineStr">
        <is>
          <t>Top supplier % of purchases</t>
        </is>
      </c>
      <c r="E25" s="17" t="n">
        <v>0.0794</v>
      </c>
    </row>
    <row r="26">
      <c r="B26" t="inlineStr">
        <is>
          <t>Largest state/country % of revenue</t>
        </is>
      </c>
      <c r="E26" s="17" t="n">
        <v>0.9399</v>
      </c>
    </row>
    <row r="27">
      <c r="B27" t="inlineStr">
        <is>
          <t>Fresh issue net of expenses</t>
        </is>
      </c>
      <c r="E27" s="16" t="n"/>
    </row>
    <row r="28">
      <c r="B28" t="inlineStr">
        <is>
          <t>Promoter weighted avg cost of acquisition (Rs)</t>
        </is>
      </c>
      <c r="E28" s="16" t="n">
        <v>5.4</v>
      </c>
    </row>
    <row r="29">
      <c r="B29" t="inlineStr">
        <is>
          <t>Offer price / cap (Rs)</t>
        </is>
      </c>
      <c r="E29" s="16" t="n"/>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154-157</t>
        </is>
      </c>
      <c r="G5" s="27" t="inlineStr">
        <is>
          <t>22:1 bonus (allotted after 27-May-2026) and 2-for-1 split are applied to all periods: EPS Rs 5.64 = Rs 313.90 m / 55,650,984 shares; NAV Rs 12.75 = Rs 709.29 m / 55,650,984 shares. Consistent across the Basis for Offer Price.</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pp. 88, 346</t>
        </is>
      </c>
      <c r="G6" s="27" t="inlineStr">
        <is>
          <t>FY26 operating cash flow Rs 26.85 m against PAT Rs 313.90 m (8.6%); FY26 working capital absorbed Rs 445.46 m of inventory and Rs 281.35 m of other assets. Cumulative FY24-26 CFO/PAT 69.7% (CFO Rs 281.93 m / PAT Rs 404.39 m) on a mixed standalone/consolidated series.</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87</t>
        </is>
      </c>
      <c r="G7" s="27" t="inlineStr">
        <is>
          <t>Current tax Rs 130.30 m on FY26 PBT Rs 444.12 m (29.3%); cumulative FY24-26 current tax 26.1% of cumulative PBT. Profit is taxed in cash.</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94-95, 129, 56</t>
        </is>
      </c>
      <c r="G8" s="27" t="inlineStr">
        <is>
          <t>Both plants stand on land leased from the promoters to 31-Mar-2055 (Cheema 19.47 acres; Dehlon 16.20 acres, Rs 0.08 m a month, +15% every 3 years), and the Rs 716.64 m expansion is on the Dehlon land. Company lent Rs 55.00 m to promoters in FY26 (balance at 31-Mar-26). Three patents assigned by promoter Dharam Singh on 21-Sep-2026 at below fair value (p. 56). Business bought from promoter proprietorships for Rs 324.57 m paid in shares at Rs 1,547 per Rs 10 share (p. 388).</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123</t>
        </is>
      </c>
      <c r="G9" s="27" t="inlineStr">
        <is>
          <t>Fresh issue is amount-based (Rs 3,000 m), no fixed share count, so there is no objects price floor. Objects: Rs 1,100 m working capital, Rs 716.64 m capex, Rs 185 m debt repayment; the balance is general corporate purposes (cap 25% of gross proceeds) and offer expenses.</t>
        </is>
      </c>
    </row>
    <row r="10" ht="42" customHeight="1">
      <c r="A10" s="26" t="inlineStr">
        <is>
          <t>6</t>
        </is>
      </c>
      <c r="B10" s="26" t="inlineStr">
        <is>
          <t>Revaluation reserves</t>
        </is>
      </c>
      <c r="C10" s="26" t="inlineStr">
        <is>
          <t>Any non-zero balance.</t>
        </is>
      </c>
      <c r="D10" s="26" t="inlineStr">
        <is>
          <t>Other equity note</t>
        </is>
      </c>
      <c r="E10" s="7" t="inlineStr">
        <is>
          <t>PASS</t>
        </is>
      </c>
      <c r="F10" s="7" t="inlineStr">
        <is>
          <t>pp. 85-86</t>
        </is>
      </c>
      <c r="G10" s="27" t="inlineStr">
        <is>
          <t>No revaluation reserve shown in the restated balance sheets.</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WATCH</t>
        </is>
      </c>
      <c r="F11" s="7" t="inlineStr">
        <is>
          <t>pp. 85, 91, 388</t>
        </is>
      </c>
      <c r="G11" s="27" t="inlineStr">
        <is>
          <t>Goodwill Rs 4.55 m restated (0.6% of tangible net worth Rs 704.74 m). The proforma balance sheet (p. 91) shows goodwill Rs 65.66 m at 31-Mar-25 and a capital reserve of Rs 32.98 m at 31-Mar-24; the restated note records goodwill of Rs 3.05 m + Rs 1.50 m. Purchase accounting differs between the two presentations.</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33, 36, 261, 56</t>
        </is>
      </c>
      <c r="G12" s="27" t="inlineStr">
        <is>
          <t>Top customer (Seth Agro Industries, not a disclosed related party) 25.21% of FY26 revenue; top-10 50.04%. Northern and Central states 93.99% of revenue. Supply side: top-10 suppliers 40.53% of FY26 raw material cost (76.68% in FY25 when promoter firms supplied); no definitive long-term agreements with suppliers or customers.</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93</t>
        </is>
      </c>
      <c r="G13" s="27" t="inlineStr">
        <is>
          <t>Contingent liabilities Rs 71.70 m (GST demands Rs 22.67 m, other Rs 6.50 m, bank guarantees Rs 42.35 m) = 10.1% of net worth Rs 709.29 m.</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 52</t>
        </is>
      </c>
      <c r="G15" s="27" t="inlineStr">
        <is>
          <t>CARO 2020 / Rule 11(g): accounting software had no audit-trail feature at database level until January 2026 (FY25 and FY26 reports). No change of statutory auditor (Anup Kumar Jain &amp; Co) in the last three years.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WATCH</t>
        </is>
      </c>
      <c r="F16" s="7" t="inlineStr">
        <is>
          <t>p. 24</t>
        </is>
      </c>
      <c r="G16" s="27" t="inlineStr">
        <is>
          <t>Promoters and executive directors were in the past disqualified as directors because of a directorship in Jaggatjit Agro Private Limited, which had not filed financial statements or annual returns; the company also lists past delays in RoC filings with adjudication applications.</t>
        </is>
      </c>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WATCH</t>
        </is>
      </c>
      <c r="F19" s="7" t="inlineStr">
        <is>
          <t>p. 1, p. 57</t>
        </is>
      </c>
      <c r="G19" s="27" t="inlineStr">
        <is>
          <t>Offer is under Regulation 6(2) (does not meet 6(1)(a) and 6(1)(c)): at least 75% to QIBs, no more than 15% non-institutional and 10% retail, with refund if 75% cannot be allotted to QIBs. OFS of 3,100,000 shares by promoter Jagatjit Singh.</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is>
          <t>p. 511</t>
        </is>
      </c>
      <c r="G20" s="27" t="inlineStr">
        <is>
          <t>BRLM Keynote Financial Services: DRHP lists two issues (Amir Chand Jagdish Kumar (Exports), CSM Technologies); full track record is on the BRLM's website, not in the DRHP.</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WATCH</t>
        </is>
      </c>
      <c r="F21" s="7" t="inlineStr">
        <is>
          <t>pp. 101, 129</t>
        </is>
      </c>
      <c r="G21" s="27" t="inlineStr">
        <is>
          <t>Capex orders: none placed for any of the Rs 716.64 m (100% unplaced); quotations valid for limited periods. Monitoring agency to be appointed before RHP.</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2026-10-16T13:36:52Z</dcterms:created>
  <dcterms:modified xmlns:dcterms="http://purl.org/dc/terms/" xmlns:xsi="http://www.w3.org/2001/XMLSchema-instance" xsi:type="dcterms:W3CDTF">2026-10-16T13:36:52Z</dcterms:modified>
</cp:coreProperties>
</file>