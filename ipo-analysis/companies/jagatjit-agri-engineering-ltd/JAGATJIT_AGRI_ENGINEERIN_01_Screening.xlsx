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Basis" sheetId="2" state="visible" r:id="rId2"/>
    <sheet name="Quick Metrics" sheetId="3" state="visible" r:id="rId3"/>
    <sheet name="Forensic Checks" sheetId="4" state="visible" r:id="rId4"/>
    <sheet name="Work Blocks" sheetId="5" state="visible" r:id="rId5"/>
    <sheet name="Data Gaps" sheetId="6" state="visible" r:id="rId6"/>
    <sheet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Jagatjit Agri Engineering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46290</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none (all figures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48.86</v>
      </c>
      <c r="D5" s="16" t="n">
        <v>95.926</v>
      </c>
      <c r="E5" s="16" t="n">
        <v>413.97</v>
      </c>
      <c r="F5" s="16" t="n"/>
      <c r="G5" s="7" t="inlineStr">
        <is>
          <t>p. 87</t>
        </is>
      </c>
    </row>
    <row r="6">
      <c r="B6" t="inlineStr">
        <is>
          <t>Other income</t>
        </is>
      </c>
      <c r="C6" s="16" t="n">
        <v>0.231</v>
      </c>
      <c r="D6" s="16" t="n">
        <v>0.234</v>
      </c>
      <c r="E6" s="16" t="n">
        <v>3.503</v>
      </c>
      <c r="F6" s="16" t="n"/>
      <c r="G6" s="7" t="inlineStr">
        <is>
          <t>p. 87</t>
        </is>
      </c>
    </row>
    <row r="7">
      <c r="B7" t="inlineStr">
        <is>
          <t>Profit before tax</t>
        </is>
      </c>
      <c r="C7" s="16" t="n">
        <v>3.832</v>
      </c>
      <c r="D7" s="16" t="n">
        <v>8.02</v>
      </c>
      <c r="E7" s="16" t="n">
        <v>44.412</v>
      </c>
      <c r="F7" s="16" t="n"/>
      <c r="G7" s="7" t="inlineStr">
        <is>
          <t>p. 87</t>
        </is>
      </c>
    </row>
    <row r="8">
      <c r="B8" t="inlineStr">
        <is>
          <t>Current tax</t>
        </is>
      </c>
      <c r="C8" s="16" t="n">
        <v>0.384</v>
      </c>
      <c r="D8" s="16" t="n">
        <v>1.295</v>
      </c>
      <c r="E8" s="16" t="n">
        <v>13.03</v>
      </c>
      <c r="F8" s="16" t="n"/>
      <c r="G8" s="7" t="inlineStr">
        <is>
          <t>p. 87</t>
        </is>
      </c>
    </row>
    <row r="9">
      <c r="B9" t="inlineStr">
        <is>
          <t>Deferred tax</t>
        </is>
      </c>
      <c r="C9" s="16" t="n">
        <v>0.946</v>
      </c>
      <c r="D9" s="16" t="n">
        <v>0.179</v>
      </c>
      <c r="E9" s="16" t="n">
        <v>-0.008999999999999999</v>
      </c>
      <c r="F9" s="16" t="n"/>
      <c r="G9" s="7" t="inlineStr">
        <is>
          <t>p. 87</t>
        </is>
      </c>
    </row>
    <row r="10">
      <c r="B10" t="inlineStr">
        <is>
          <t>PAT</t>
        </is>
      </c>
      <c r="C10" s="16" t="n">
        <v>2.502</v>
      </c>
      <c r="D10" s="16" t="n">
        <v>6.547</v>
      </c>
      <c r="E10" s="16" t="n">
        <v>31.39</v>
      </c>
      <c r="F10" s="16" t="n"/>
      <c r="G10" s="7" t="inlineStr">
        <is>
          <t>p. 87</t>
        </is>
      </c>
    </row>
    <row r="11">
      <c r="B11" t="inlineStr">
        <is>
          <t>Cash flow from operations</t>
        </is>
      </c>
      <c r="C11" s="16" t="n">
        <v>12.493</v>
      </c>
      <c r="D11" s="16" t="n">
        <v>13.015</v>
      </c>
      <c r="E11" s="16" t="n">
        <v>2.685</v>
      </c>
      <c r="F11" s="16" t="n"/>
      <c r="G11" s="7" t="inlineStr">
        <is>
          <t>p. 88</t>
        </is>
      </c>
    </row>
    <row r="12">
      <c r="B12" t="inlineStr">
        <is>
          <t>Related-party sales</t>
        </is>
      </c>
      <c r="C12" s="16" t="n">
        <v>10.999</v>
      </c>
      <c r="D12" s="16" t="n">
        <v>23.522</v>
      </c>
      <c r="E12" s="16" t="n">
        <v>6.999</v>
      </c>
      <c r="F12" s="16" t="n"/>
      <c r="G12" s="7" t="inlineStr">
        <is>
          <t>pp. 94-95 (incl. SMW I and II for FY24-FY25)</t>
        </is>
      </c>
    </row>
    <row r="13">
      <c r="B13" t="inlineStr">
        <is>
          <t>Related-party purchases (incl. capex)</t>
        </is>
      </c>
      <c r="C13" s="16" t="n">
        <v>25.881</v>
      </c>
      <c r="D13" s="16" t="n">
        <v>44.624</v>
      </c>
      <c r="E13" s="16" t="n">
        <v>16.491</v>
      </c>
      <c r="F13" s="16" t="n"/>
      <c r="G13" s="7" t="inlineStr">
        <is>
          <t>pp. 94-95 (incl. SMW I and II for FY24-FY25)</t>
        </is>
      </c>
    </row>
    <row r="14">
      <c r="B14" t="inlineStr">
        <is>
          <t>Net worth</t>
        </is>
      </c>
      <c r="C14" s="16" t="n">
        <v>0.532</v>
      </c>
      <c r="D14" s="16" t="n">
        <v>7.078</v>
      </c>
      <c r="E14" s="16" t="n">
        <v>70.474</v>
      </c>
      <c r="F14" s="16" t="n"/>
      <c r="G14" s="7" t="inlineStr">
        <is>
          <t>p. 157 (tangible net worth)</t>
        </is>
      </c>
    </row>
    <row r="15">
      <c r="B15" t="inlineStr">
        <is>
          <t>Trade receivables</t>
        </is>
      </c>
      <c r="C15" s="16" t="n">
        <v>5.285</v>
      </c>
      <c r="D15" s="16" t="n">
        <v>24.472</v>
      </c>
      <c r="E15" s="16" t="n">
        <v>61.295</v>
      </c>
      <c r="F15" s="16" t="n"/>
      <c r="G15" s="7" t="inlineStr">
        <is>
          <t>pp. 85-86</t>
        </is>
      </c>
    </row>
    <row r="16">
      <c r="B16" t="inlineStr">
        <is>
          <t>Inventory</t>
        </is>
      </c>
      <c r="C16" s="16" t="n">
        <v>13.023</v>
      </c>
      <c r="D16" s="16" t="n">
        <v>12.941</v>
      </c>
      <c r="E16" s="16" t="n">
        <v>113.711</v>
      </c>
      <c r="F16" s="16" t="n"/>
      <c r="G16" s="7" t="inlineStr">
        <is>
          <t>pp. 85-86</t>
        </is>
      </c>
    </row>
    <row r="17">
      <c r="B17" t="inlineStr">
        <is>
          <t>Trade payables</t>
        </is>
      </c>
      <c r="C17" s="16" t="n">
        <v>20.141</v>
      </c>
      <c r="D17" s="16" t="n">
        <v>46.044</v>
      </c>
      <c r="E17" s="16" t="n">
        <v>91.154</v>
      </c>
      <c r="F17" s="16" t="n"/>
      <c r="G17" s="7" t="inlineStr">
        <is>
          <t>pp. 85-86 (MSME + others)</t>
        </is>
      </c>
    </row>
    <row r="18">
      <c r="B18" t="inlineStr">
        <is>
          <t>Contingent liabilities</t>
        </is>
      </c>
      <c r="C18" s="16" t="n"/>
      <c r="D18" s="16" t="n"/>
      <c r="E18" s="16" t="n">
        <v>7.17</v>
      </c>
      <c r="F18" s="16" t="n"/>
      <c r="G18" s="7" t="inlineStr">
        <is>
          <t>p. 93 (FY26 only)</t>
        </is>
      </c>
    </row>
    <row r="19">
      <c r="B19" t="inlineStr">
        <is>
          <t>Goodwill + intangibles</t>
        </is>
      </c>
      <c r="C19" s="16" t="n">
        <v>0</v>
      </c>
      <c r="D19" s="16" t="n">
        <v>0</v>
      </c>
      <c r="E19" s="16" t="n">
        <v>0.455</v>
      </c>
      <c r="F19" s="16" t="n"/>
      <c r="G19" s="7" t="inlineStr">
        <is>
          <t>p. 85; p. 368</t>
        </is>
      </c>
    </row>
    <row r="20">
      <c r="B20" t="inlineStr">
        <is>
          <t>Revaluation reserve</t>
        </is>
      </c>
      <c r="C20" s="16" t="n">
        <v>0</v>
      </c>
      <c r="D20" s="16" t="n">
        <v>0</v>
      </c>
      <c r="E20" s="16" t="n">
        <v>0</v>
      </c>
      <c r="F20" s="16" t="n"/>
      <c r="G20" s="7" t="inlineStr">
        <is>
          <t>pp. 85-86 (no revaluation reserve line)</t>
        </is>
      </c>
    </row>
    <row r="22">
      <c r="B22" s="3" t="inlineStr">
        <is>
          <t>Single-period inputs (latest)</t>
        </is>
      </c>
    </row>
    <row r="23">
      <c r="B23" t="inlineStr">
        <is>
          <t>Top customer % of revenue</t>
        </is>
      </c>
      <c r="E23" s="17" t="n">
        <v>0.2521</v>
      </c>
    </row>
    <row r="24">
      <c r="B24" t="inlineStr">
        <is>
          <t>Top-10 customers % of revenue</t>
        </is>
      </c>
      <c r="E24" s="17" t="n">
        <v>0.5004</v>
      </c>
    </row>
    <row r="25">
      <c r="B25" t="inlineStr">
        <is>
          <t>Top supplier % of purchases</t>
        </is>
      </c>
      <c r="E25" s="17" t="n">
        <v>0.0794</v>
      </c>
    </row>
    <row r="26">
      <c r="B26" t="inlineStr">
        <is>
          <t>Largest state/country % of revenue</t>
        </is>
      </c>
      <c r="E26" s="17" t="n">
        <v>0.0136</v>
      </c>
    </row>
    <row r="27">
      <c r="B27" t="inlineStr">
        <is>
          <t>Fresh issue net of expenses</t>
        </is>
      </c>
      <c r="E27" s="16" t="n"/>
    </row>
    <row r="28">
      <c r="B28" t="inlineStr">
        <is>
          <t>Promoter weighted avg cost of acquisition (Rs)</t>
        </is>
      </c>
      <c r="E28" s="16" t="n">
        <v>5.94</v>
      </c>
    </row>
    <row r="29">
      <c r="B29" t="inlineStr">
        <is>
          <t>Offer price / cap (Rs)</t>
        </is>
      </c>
      <c r="E29" s="16" t="n">
        <v>131.69</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104-105, 154-156</t>
        </is>
      </c>
      <c r="G5" s="27" t="inlineStr">
        <is>
          <t>Bonus 22:1 (allotted 27-May-2026) and split of Rs 10 to Rs 5 (4-May-2026) are applied retrospectively: EPS 5.64 / 1.42 / 0.57 and NAV Rs 12.75 use 55,650,984 shares. Check: Rs 313.90 m / 55.65 m = Rs 5.64. The FY26 balance sheet share capital of Rs 12.10 m is the pre-bonus count (1,209,804 shares of Rs 10) and is a presentation point.</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88</t>
        </is>
      </c>
      <c r="G6" s="27" t="inlineStr">
        <is>
          <t>CFO was Rs 124.93 m / 130.15 m / 26.85 m in FY24 / FY25 / FY26. Cumulative CFO is Rs 281.93 m against cumulative PAT of Rs 404.39 m = 69.7% (mixed standalone / consolidated basis). FY26 CFO is 8.6% of FY26 PAT after a Rs 445.46 m inventory build and a Rs 281.35 m rise in other assets; the Rs 104.52 m of tax paid is also in CFO. CFO after interest paid (Rs 96.06 m) and lease payments (Rs 17.85 m) is negative in FY26 (-Rs 87.06 m).</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87</t>
        </is>
      </c>
      <c r="G7" s="27" t="inlineStr">
        <is>
          <t>Current tax Rs 130.30 m on PBT of Rs 444.12 m = 29.3% in FY26 (statutory 25.17%); deferred tax was a small credit of Rs 0.09 m. FY25 current tax 16.1% of PBT and FY24 10.0% of PBT, both on the small pre-acquisition standalone Company. Tax paid in cash FY26 was Rs 104.52 m = 23.5% of PBT.</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94-95, 129</t>
        </is>
      </c>
      <c r="G8" s="27" t="inlineStr">
        <is>
          <t>Related-party purchases Rs 164.91 m in FY26 (6.5% of cost of materials consumed) and sales Rs 69.99 m (1.7% of revenue); balance receivable from Guru Nanak Agriculture Implements Rs 49.09 m = 8.0% of trade receivables. Loans and advances given to KMP at 31-Mar-2026: Jagatjit Singh Rs 45.00 m and Dharam Singh Rs 10.00 m (p. 95). The Rs 716.64 m capex object is on the Dehlon facility, whose land (16.20 acres) is leased from the promoters under a lease with 15% escalation every three years (p. 129). No proceeds go to a subsidiary.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123-124</t>
        </is>
      </c>
      <c r="G9" s="27" t="inlineStr">
        <is>
          <t>Fresh issue is amount-based (up to Rs 3,000 m) and the share count is [●], so no objects price floor can be set. Specific objects total Rs 2,001.64 m (working capital 1,100.00; Dehlon capex 716.64; debt repayment 185.00); the remaining Rs 998.36 m is offer expenses plus general corporate purposes (cap 25% of gross proceeds = Rs 750 m).</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pp. 85-86; 105</t>
        </is>
      </c>
      <c r="G10" s="27" t="inlineStr">
        <is>
          <t>No revaluation reserve line; the DRHP states no shares have been issued out of revaluation reserve (p. 105).</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pp. 85, 368, 388</t>
        </is>
      </c>
      <c r="G11" s="27" t="inlineStr">
        <is>
          <t>Goodwill Rs 4.55 m = 0.6% of tangible net worth (Rs 704.74 m); it arises on the slump-sale acquisitions (consideration Rs 324.57 m against net assets Rs 320.03 m; Rs 3.05 m and Rs 1.50 m, Note 33). Proforma FY25 shows goodwill of Rs 65.66 m (p. 91) against Rs 4.55 m restated, a difference the DRHP does not reconcile in the summary.</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23, 33, 36</t>
        </is>
      </c>
      <c r="G12" s="27" t="inlineStr">
        <is>
          <t>Top customer 25.21% / 21.86% / 19.36% of revenue FY26 / FY25 / FY24 (restated); top-5 40.84%, top-10 50.04%. In FY25 and FY24 the top 'customer' was the promoter's own proprietorship SMW II. On proforma basis top customer 11.59% (FY25). Top-10 suppliers 40.53% FY26 (76.68% FY25, 96.69% FY24); top supplier 7.94% FY26. No long-term agreements with suppliers or customers; distributors 46.16% and dealers 39.92% of FY26 revenue; dealer agreements terminable on 60 days' notice (p. 29). Exports 1.36% of FY26 revenue. Neither the 80% single-name test nor the top-10 test is met.</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93</t>
        </is>
      </c>
      <c r="G13" s="27" t="inlineStr">
        <is>
          <t>Contingent liabilities Rs 71.70 m = 10.2% of tangible net worth (Rs 704.74 m): GST demands 22.67, income tax 0.18, other 6.50, bank guarantees 42.35. Rs 2.14 m of the GST demand relates to SMW I and is to be discharged by the Company under the business transfer terms.</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pp. 47-52</t>
        </is>
      </c>
      <c r="G15" s="27" t="inlineStr">
        <is>
          <t>No audit qualification on the financial statements. Rule 11(g) audit-trail remark: the accounting software did not record an audit trail at database level in FY24, FY25 and FY26 (to 31-Dec-2025; enabled January 2026). Risk factor discloses past disqualification of certain promoters / executive directors under Section 164 for directorship of Jaggatjit Agro Private Limited, which had not filed its financial statements / annual returns (p. 23). Statutory auditor: Anup Kumar Jain &amp; Co. (FRN 005731N).</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 52</t>
        </is>
      </c>
      <c r="G16" s="27" t="inlineStr">
        <is>
          <t>CARO 2020 Rule 11(g): audit trail feature not available at database level for FY24 and FY25 and, for FY26, until 31-Dec-2025. The issuer states no impact on the financial statements and that the feature was enabled in January 2026.</t>
        </is>
      </c>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101</t>
        </is>
      </c>
      <c r="G17" s="27" t="inlineStr">
        <is>
          <t>Offer exceeds Rs 1,000 m; the issuer will appoint a SEBI-registered credit rating agency as monitoring agency before filing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WATCH</t>
        </is>
      </c>
      <c r="F18" s="7" t="inlineStr">
        <is>
          <t>pp. 57, 502</t>
        </is>
      </c>
      <c r="G18" s="27" t="inlineStr">
        <is>
          <t>Offer is made under Reg 6(2): the issuer does not meet Reg 6(1)(a) (net tangible assets of at least Rs 30 m in each of the three preceding years) or Reg 6(1)(c) (net worth of at least Rs 10 m in each of those years); FY24 net worth is Rs 5.32 m. Reg 32(2) then requires at least 75% of the Offer to be allotted to QIBs, otherwise the Offer fails. Not-more-than 15% to NIBs and 10% to retail.</t>
        </is>
      </c>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c r="G19" s="27" t="inlineStr">
        <is>
          <t>Mainboard issue; SME conditions do not apply. Offer for sale is 3,100,000 shares by one promoter (Jagatjit Singh, 88.03% pre-offer); the selling holder's participation share is a post-price calculation.</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WATCH</t>
        </is>
      </c>
      <c r="F20" s="7" t="inlineStr">
        <is>
          <t>pp. 510-511</t>
        </is>
      </c>
      <c r="G20" s="27" t="inlineStr">
        <is>
          <t>DRHP gives Keynote's two IPOs in FY2026-27 (Amir Chand Jagdish Kumar (Exports) Ltd and CSM Technologies Ltd; both below issue price at 30 days) and none in FY2025-26 or FY2024-25. Both recorded in data/merchant_bankers.json. Current prices and issuer financials are not compiled.</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PASS</t>
        </is>
      </c>
      <c r="F21" s="7" t="inlineStr">
        <is>
          <t>pp. 123-124</t>
        </is>
      </c>
      <c r="G21" s="27" t="inlineStr">
        <is>
          <t>Objects are funded wholly from the Fresh Issue; no separate means-of-finance tie-up is required. Net proceeds are not appraised by any bank or financial institution (p. 125).</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2026-10-09T13:36:34Z</dcterms:created>
  <dcterms:modified xsi:type="dcterms:W3CDTF">2026-10-09T13:36:34Z</dcterms:modified>
</cp:coreProperties>
</file>