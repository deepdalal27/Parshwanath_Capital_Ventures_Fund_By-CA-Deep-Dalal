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Jagatjit Agri Engineering Limited</t>
        </is>
      </c>
      <c r="D5" s="8" t="inlineStr"/>
    </row>
    <row r="6">
      <c r="B6" s="6" t="inlineStr">
        <is>
          <t>Platform</t>
        </is>
      </c>
      <c r="C6" s="7" t="inlineStr">
        <is>
          <t>Mainboard</t>
        </is>
      </c>
      <c r="D6" s="8" t="inlineStr"/>
    </row>
    <row r="7">
      <c r="B7" s="6" t="inlineStr">
        <is>
          <t>Stage</t>
        </is>
      </c>
      <c r="C7" s="9" t="inlineStr">
        <is>
          <t>DRHP</t>
        </is>
      </c>
      <c r="D7" s="8" t="inlineStr"/>
    </row>
    <row r="8">
      <c r="B8" s="6" t="inlineStr">
        <is>
          <t>Document date</t>
        </is>
      </c>
      <c r="C8" s="10" t="n">
        <v>46290</v>
      </c>
      <c r="D8" s="8" t="inlineStr"/>
    </row>
    <row r="9">
      <c r="B9" s="6" t="inlineStr">
        <is>
          <t>Audited financials up to</t>
        </is>
      </c>
      <c r="C9" s="10" t="n">
        <v>46112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No</t>
        </is>
      </c>
      <c r="D13" s="8" t="inlineStr"/>
    </row>
    <row r="14">
      <c r="B14" s="6" t="inlineStr">
        <is>
          <t>Book running lead manager(s)</t>
        </is>
      </c>
      <c r="C14" s="7" t="inlineStr">
        <is>
          <t>Keynote Financial Services Limited</t>
        </is>
      </c>
      <c r="D14" s="8" t="inlineStr"/>
      <c r="E14" s="14" t="inlineStr">
        <is>
          <t>Compile BRLM track record (CIR/MIRSD/1/2012)</t>
        </is>
      </c>
    </row>
    <row r="15">
      <c r="B15" s="6" t="inlineStr">
        <is>
          <t>Figures from outside the offer document</t>
        </is>
      </c>
      <c r="C15" s="7" t="inlineStr">
        <is>
          <t>none (all figures from the DRHP)</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48.86</v>
      </c>
      <c r="D5" s="16" t="n">
        <v>95.926</v>
      </c>
      <c r="E5" s="16" t="n">
        <v>413.97</v>
      </c>
      <c r="F5" s="16" t="n"/>
      <c r="G5" s="7" t="inlineStr">
        <is>
          <t>pp. 87 (FY24-25 standalone; FY26 consolidated)</t>
        </is>
      </c>
    </row>
    <row r="6">
      <c r="B6" t="inlineStr">
        <is>
          <t>Other income</t>
        </is>
      </c>
      <c r="C6" s="16" t="n">
        <v>0.231</v>
      </c>
      <c r="D6" s="16" t="n">
        <v>0.234</v>
      </c>
      <c r="E6" s="16" t="n">
        <v>3.503</v>
      </c>
      <c r="F6" s="16" t="n"/>
      <c r="G6" s="7" t="inlineStr">
        <is>
          <t>p. 87</t>
        </is>
      </c>
    </row>
    <row r="7">
      <c r="B7" t="inlineStr">
        <is>
          <t>Profit before tax</t>
        </is>
      </c>
      <c r="C7" s="16" t="n">
        <v>3.832</v>
      </c>
      <c r="D7" s="16" t="n">
        <v>8.02</v>
      </c>
      <c r="E7" s="16" t="n">
        <v>44.412</v>
      </c>
      <c r="F7" s="16" t="n"/>
      <c r="G7" s="7" t="inlineStr">
        <is>
          <t>p. 87</t>
        </is>
      </c>
    </row>
    <row r="8">
      <c r="B8" t="inlineStr">
        <is>
          <t>Current tax</t>
        </is>
      </c>
      <c r="C8" s="16" t="n">
        <v>0.384</v>
      </c>
      <c r="D8" s="16" t="n">
        <v>1.295</v>
      </c>
      <c r="E8" s="16" t="n">
        <v>13.03</v>
      </c>
      <c r="F8" s="16" t="n"/>
      <c r="G8" s="7" t="inlineStr">
        <is>
          <t>p. 87</t>
        </is>
      </c>
    </row>
    <row r="9">
      <c r="B9" t="inlineStr">
        <is>
          <t>Deferred tax</t>
        </is>
      </c>
      <c r="C9" s="16" t="n">
        <v>0.946</v>
      </c>
      <c r="D9" s="16" t="n">
        <v>0.179</v>
      </c>
      <c r="E9" s="16" t="n">
        <v>-0.008999999999999999</v>
      </c>
      <c r="F9" s="16" t="n"/>
      <c r="G9" s="7" t="inlineStr">
        <is>
          <t>p. 87</t>
        </is>
      </c>
    </row>
    <row r="10">
      <c r="B10" t="inlineStr">
        <is>
          <t>PAT</t>
        </is>
      </c>
      <c r="C10" s="16" t="n">
        <v>2.502</v>
      </c>
      <c r="D10" s="16" t="n">
        <v>6.547</v>
      </c>
      <c r="E10" s="16" t="n">
        <v>31.39</v>
      </c>
      <c r="F10" s="16" t="n"/>
      <c r="G10" s="7" t="inlineStr">
        <is>
          <t>p. 87</t>
        </is>
      </c>
    </row>
    <row r="11">
      <c r="B11" t="inlineStr">
        <is>
          <t>Cash flow from operations</t>
        </is>
      </c>
      <c r="C11" s="16" t="n">
        <v>12.493</v>
      </c>
      <c r="D11" s="16" t="n">
        <v>13.015</v>
      </c>
      <c r="E11" s="16" t="n">
        <v>2.685</v>
      </c>
      <c r="F11" s="16" t="n"/>
      <c r="G11" s="7" t="inlineStr">
        <is>
          <t>p. 88</t>
        </is>
      </c>
    </row>
    <row r="12">
      <c r="B12" t="inlineStr">
        <is>
          <t>Related-party sales</t>
        </is>
      </c>
      <c r="C12" s="16" t="n">
        <v>10.999</v>
      </c>
      <c r="D12" s="16" t="n">
        <v>23.522</v>
      </c>
      <c r="E12" s="16" t="n">
        <v>6.999</v>
      </c>
      <c r="F12" s="16" t="n"/>
      <c r="G12" s="7" t="inlineStr">
        <is>
          <t>pp. 94-95 (incl. Saron Mechanical Works I and II before 1-Apr-2025)</t>
        </is>
      </c>
    </row>
    <row r="13">
      <c r="B13" t="inlineStr">
        <is>
          <t>Related-party purchases (incl. capex)</t>
        </is>
      </c>
      <c r="C13" s="16" t="n">
        <v>25.881</v>
      </c>
      <c r="D13" s="16" t="n">
        <v>44.624</v>
      </c>
      <c r="E13" s="16" t="n">
        <v>16.491</v>
      </c>
      <c r="F13" s="16" t="n"/>
      <c r="G13" s="7" t="inlineStr">
        <is>
          <t>pp. 94-95 (incl. Saron Mechanical Works I and II)</t>
        </is>
      </c>
    </row>
    <row r="14">
      <c r="B14" t="inlineStr">
        <is>
          <t>Net worth</t>
        </is>
      </c>
      <c r="C14" s="16" t="n">
        <v>0.532</v>
      </c>
      <c r="D14" s="16" t="n">
        <v>7.078</v>
      </c>
      <c r="E14" s="16" t="n">
        <v>70.929</v>
      </c>
      <c r="F14" s="16" t="n"/>
      <c r="G14" s="7" t="inlineStr">
        <is>
          <t>p. 85</t>
        </is>
      </c>
    </row>
    <row r="15">
      <c r="B15" t="inlineStr">
        <is>
          <t>Trade receivables</t>
        </is>
      </c>
      <c r="C15" s="16" t="n">
        <v>5.285</v>
      </c>
      <c r="D15" s="16" t="n">
        <v>24.472</v>
      </c>
      <c r="E15" s="16" t="n">
        <v>61.295</v>
      </c>
      <c r="F15" s="16" t="n"/>
      <c r="G15" s="7" t="inlineStr">
        <is>
          <t>p. 85</t>
        </is>
      </c>
    </row>
    <row r="16">
      <c r="B16" t="inlineStr">
        <is>
          <t>Inventory</t>
        </is>
      </c>
      <c r="C16" s="16" t="n">
        <v>13.023</v>
      </c>
      <c r="D16" s="16" t="n">
        <v>12.941</v>
      </c>
      <c r="E16" s="16" t="n">
        <v>113.711</v>
      </c>
      <c r="F16" s="16" t="n"/>
      <c r="G16" s="7" t="inlineStr">
        <is>
          <t>p. 85</t>
        </is>
      </c>
    </row>
    <row r="17">
      <c r="B17" t="inlineStr">
        <is>
          <t>Trade payables</t>
        </is>
      </c>
      <c r="C17" s="16" t="n">
        <v>20.141</v>
      </c>
      <c r="D17" s="16" t="n">
        <v>46.044</v>
      </c>
      <c r="E17" s="16" t="n">
        <v>91.154</v>
      </c>
      <c r="F17" s="16" t="n"/>
      <c r="G17" s="7" t="inlineStr">
        <is>
          <t>pp. 85-86 (MSME + others)</t>
        </is>
      </c>
    </row>
    <row r="18">
      <c r="B18" t="inlineStr">
        <is>
          <t>Contingent liabilities</t>
        </is>
      </c>
      <c r="C18" s="16" t="n">
        <v>36.572</v>
      </c>
      <c r="D18" s="16" t="n">
        <v>59.737</v>
      </c>
      <c r="E18" s="16" t="n">
        <v>210.768</v>
      </c>
      <c r="F18" s="16" t="n"/>
      <c r="G18" s="7" t="inlineStr">
        <is>
          <t>p. 86</t>
        </is>
      </c>
    </row>
    <row r="19">
      <c r="B19" t="inlineStr">
        <is>
          <t>Goodwill + intangibles</t>
        </is>
      </c>
      <c r="C19" s="16" t="n">
        <v>0</v>
      </c>
      <c r="D19" s="16" t="n">
        <v>0</v>
      </c>
      <c r="E19" s="16" t="n">
        <v>0.455</v>
      </c>
      <c r="F19" s="16" t="n"/>
      <c r="G19" s="7" t="inlineStr">
        <is>
          <t>p. 85</t>
        </is>
      </c>
    </row>
    <row r="20">
      <c r="B20" t="inlineStr">
        <is>
          <t>Revaluation reserve</t>
        </is>
      </c>
      <c r="C20" s="16" t="n">
        <v>0</v>
      </c>
      <c r="D20" s="16" t="n">
        <v>0</v>
      </c>
      <c r="E20" s="16" t="n">
        <v>0</v>
      </c>
      <c r="F20" s="16" t="n"/>
      <c r="G20" s="7" t="inlineStr">
        <is>
          <t>no revaluation disclosed (p. 301 reference); not located as a line item</t>
        </is>
      </c>
    </row>
    <row r="22">
      <c r="B22" s="3" t="inlineStr">
        <is>
          <t>Single-period inputs (latest)</t>
        </is>
      </c>
    </row>
    <row r="23">
      <c r="B23" t="inlineStr">
        <is>
          <t>Top customer % of revenue</t>
        </is>
      </c>
      <c r="E23" s="17" t="n">
        <v>0.2521</v>
      </c>
    </row>
    <row r="24">
      <c r="B24" t="inlineStr">
        <is>
          <t>Top-10 customers % of revenue</t>
        </is>
      </c>
      <c r="E24" s="17" t="n">
        <v>0.5004</v>
      </c>
    </row>
    <row r="25">
      <c r="B25" t="inlineStr">
        <is>
          <t>Top supplier % of purchases</t>
        </is>
      </c>
      <c r="E25" s="17" t="n">
        <v>0.0794</v>
      </c>
    </row>
    <row r="26">
      <c r="B26" t="inlineStr">
        <is>
          <t>Largest state/country % of revenue</t>
        </is>
      </c>
      <c r="E26" s="17" t="n">
        <v>0.9399</v>
      </c>
    </row>
    <row r="27">
      <c r="B27" t="inlineStr">
        <is>
          <t>Fresh issue net of expenses</t>
        </is>
      </c>
      <c r="E27" s="16" t="n"/>
    </row>
    <row r="28">
      <c r="B28" t="inlineStr">
        <is>
          <t>Promoter weighted avg cost of acquisition (Rs)</t>
        </is>
      </c>
      <c r="E28" s="16" t="n">
        <v>5.94</v>
      </c>
    </row>
    <row r="29">
      <c r="B29" t="inlineStr">
        <is>
          <t>Offer price / cap (Rs)</t>
        </is>
      </c>
      <c r="E29" s="16" t="n">
        <v>155.78</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154-156</t>
        </is>
      </c>
      <c r="G5" s="27" t="inlineStr">
        <is>
          <t>22:1 bonus (allotted 27-May-2026) and 1:2 split (4-May-2026) are applied to every year: EPS 5.64 / 1.42 / 0.57 and NAV 12.75 use the 55,650,984-share count. FY26 EPS divides PAT by the year-end count rather than a time-weighted count (the 9.65 m consideration shares were issued 22-Oct-2025); a weighted count would give a higher EPS, so the reported P/E is not flattered.</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88</t>
        </is>
      </c>
      <c r="G6" s="27" t="inlineStr">
        <is>
          <t>CFO Rs 26.85 m in FY26 against PAT Rs 313.90 m (8.6%); cumulative CFO/PAT FY24-26 is 69.7% (281.93 / 404.39). FY26 absorbed a Rs 445.46 m inventory build (finished goods Rs 432.33 m vs Rs 19.26 m) and Rs 281.35 m other assets. Acquired balances came in through the slump sale, so the FY26 cash flow is not like-for-like with FY25.</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87</t>
        </is>
      </c>
      <c r="G7" s="27" t="inlineStr">
        <is>
          <t>Current tax Rs 130.30 m on PBT Rs 444.12 m = 29.3% in FY26; cumulative FY24-26 current tax 147.09 / PBT 562.64 = 26.1%, above the 25.17% statutory rate. Deferred tax is negligible (credit Rs 0.09 m).</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94-95, 129, 145</t>
        </is>
      </c>
      <c r="G8" s="27" t="inlineStr">
        <is>
          <t>Capex of Rs 716.64 m is to be built on 16.20 acres leased from the promoter Jagatjit Singh at Rs 0.08 m a month (+15% every 3 years, to 2055). Related-party purchases FY26 Rs 164.91 m (6.5% of materials consumed) from Goodfield, Expert International, A.P.U Traders and G9 International, each owned by persons with KMP influence. Loans/advances to promoters Rs 55.00 m outstanding at 31-Mar-2026. No proceeds go to a subsidiary.</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pp. 124, 130</t>
        </is>
      </c>
      <c r="G9" s="27" t="inlineStr">
        <is>
          <t>Fresh issue is amount-based (up to Rs 3,000 m), so there is no fixed share count and no objects price floor. Identified objects are Rs 2,001.64 m (66.7% of the fresh issue): working capital 1,100.00, Dehlon capex 716.64, debt repayment 185.00. The rest is offer expenses and general corporate purposes (up to 25% of gross proceeds, p. 124).</t>
        </is>
      </c>
    </row>
    <row r="10" ht="42" customHeight="1">
      <c r="A10" s="26" t="inlineStr">
        <is>
          <t>6</t>
        </is>
      </c>
      <c r="B10" s="26" t="inlineStr">
        <is>
          <t>Revaluation reserves</t>
        </is>
      </c>
      <c r="C10" s="26" t="inlineStr">
        <is>
          <t>Any non-zero balance.</t>
        </is>
      </c>
      <c r="D10" s="26" t="inlineStr">
        <is>
          <t>Other equity note</t>
        </is>
      </c>
      <c r="E10" s="7" t="inlineStr">
        <is>
          <t>PASS</t>
        </is>
      </c>
      <c r="F10" s="7" t="inlineStr">
        <is>
          <t>p. 85</t>
        </is>
      </c>
      <c r="G10" s="27" t="inlineStr">
        <is>
          <t>No revaluation reserve in the restated balance sheet.</t>
        </is>
      </c>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pp. 85, 387-388</t>
        </is>
      </c>
      <c r="G11" s="27" t="inlineStr">
        <is>
          <t>Goodwill Rs 4.55 m = 0.6% of equity. The slump-sale businesses were taken in at carrying values (net assets Rs 320.03 m for consideration Rs 324.57 m; goodwill Rs 4.55 m). The proforma balance sheet shows goodwill of Rs 65.66 m (p. 91) against Rs 4.55 m in the restated one: the two treatments differ.</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35-36, 39, 261</t>
        </is>
      </c>
      <c r="G12" s="27" t="inlineStr">
        <is>
          <t>Demand side: Seth Agro Industries 25.21% of FY26 revenue (Rs 1,043.46 m; 17.20% FY25, 3.85% FY24); top 10 customers 50.04%; no long-term agreements. Supply side improved: top supplier 7.94% and top 10 40.53% of FY26 purchases (76.68% FY25). Geography: Northern 68.04% and Central 25.95% of FY26 revenue.</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pp. 93, 54-55</t>
        </is>
      </c>
      <c r="G13" s="27" t="inlineStr">
        <is>
          <t>Contingent liabilities Rs 71.70 m (GST Rs 22.67 m, income tax Rs 0.18 m, other Rs 6.50 m, bank guarantees Rs 42.35 m) = 10.1% of net worth. Litigation: 8 tax proceedings and 1 regulatory matter against the company, Rs 27.71 m in aggregate; 2 criminal and 1 civil matter by the company, Rs 14.56 m.</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pp. 343-344</t>
        </is>
      </c>
      <c r="G15" s="27" t="inlineStr">
        <is>
          <t>Anup Kumar Jain &amp; Co (FRN 005731N); no qualification or emphasis of matter in the restated report. Auditor history: Singla Gupta resigned 23-Apr-2024 (preoccupation), Kansal Sandeep &amp; Associates filled the vacancy 2-May-2024 and ceased 30-Sep-2024 (tenure), Anup Kumar Jain appointed 30-Sep-2024 (p. 98). FY24 and FY25 are special-purpose Ind AS statements; the earlier statutory auditor did not hold a peer-review certificate and did not perform the restatement (p. 343).</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WATCH</t>
        </is>
      </c>
      <c r="F16" s="7" t="inlineStr">
        <is>
          <t>pp. 52, 416</t>
        </is>
      </c>
      <c r="G16" s="27" t="inlineStr">
        <is>
          <t>The parent's accounting software recorded an audit trail (edit log) only from January 2026; before that it had no such feature (Note 52(xxi)). Audit-trail-at-database-level is also flagged as a risk (p. 52). The Rule 11(g) requirement is therefore met for part of FY26 only.</t>
        </is>
      </c>
    </row>
    <row r="17" ht="42" customHeight="1">
      <c r="A17" s="26" t="inlineStr">
        <is>
          <t>R3</t>
        </is>
      </c>
      <c r="B17" s="26" t="inlineStr">
        <is>
          <t>Monitoring agency (ICDR Reg 262(1))</t>
        </is>
      </c>
      <c r="C17" s="26" t="inlineStr">
        <is>
          <t>Appointed where required by issue size?</t>
        </is>
      </c>
      <c r="D17" s="26" t="inlineStr">
        <is>
          <t>Objects</t>
        </is>
      </c>
      <c r="E17" s="7" t="inlineStr">
        <is>
          <t>WATCH</t>
        </is>
      </c>
      <c r="F17" s="7" t="inlineStr">
        <is>
          <t>p. 101</t>
        </is>
      </c>
      <c r="G17" s="27" t="inlineStr">
        <is>
          <t>The company states it will appoint a monitoring agency before the RHP; issue size above Rs 500 m requires one. Not yet named.</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WATCH</t>
        </is>
      </c>
      <c r="F18" s="7" t="inlineStr">
        <is>
          <t>p. 57</t>
        </is>
      </c>
      <c r="G18" s="27" t="inlineStr">
        <is>
          <t>Offer is under Reg 6(2) because Reg 6(1)(a) (net tangible assets Rs 30 m in each of three years) and 6(1)(c) (net worth Rs 10 m in each year) are not met: FY24 net worth was Rs 5.32 m (p. 85). At least 75% must be allotted to QIBs or the offer fails.</t>
        </is>
      </c>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c r="G19" s="27" t="inlineStr">
        <is>
          <t>Mainboard offer.</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WATCH</t>
        </is>
      </c>
      <c r="F20" s="7" t="inlineStr">
        <is>
          <t>p. 511</t>
        </is>
      </c>
      <c r="G20" s="27" t="inlineStr">
        <is>
          <t>Keynote Financial Services has two IPOs in FY2026-27 (Rs 5,858 m) and none in FY2024-26 per the DRHP; both traded below issue at day 30 (-23.53% and -2.75%). Short record; see Appendix B.</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N.A.</t>
        </is>
      </c>
      <c r="F21" s="7" t="inlineStr"/>
      <c r="G21" s="27" t="inlineStr">
        <is>
          <t>Means of finance not separately tested at DRHP stage.</t>
        </is>
      </c>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2026-10-20T13:34:30Z</dcterms:created>
  <dcterms:modified xmlns:dcterms="http://purl.org/dc/terms/" xmlns:xsi="http://www.w3.org/2001/XMLSchema-instance" xsi:type="dcterms:W3CDTF">2026-10-20T13:34:30Z</dcterms:modified>
</cp:coreProperties>
</file>