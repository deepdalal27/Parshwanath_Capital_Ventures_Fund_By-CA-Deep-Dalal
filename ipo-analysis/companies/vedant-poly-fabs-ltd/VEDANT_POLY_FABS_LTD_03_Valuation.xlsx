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Summary" sheetId="2" state="visible" r:id="rId2"/>
    <sheet xmlns:r="http://schemas.openxmlformats.org/officeDocument/2006/relationships" name="Assumptions" sheetId="3" state="visible" r:id="rId3"/>
    <sheet xmlns:r="http://schemas.openxmlformats.org/officeDocument/2006/relationships" name="DCF" sheetId="4" state="visible" r:id="rId4"/>
    <sheet xmlns:r="http://schemas.openxmlformats.org/officeDocument/2006/relationships" name="Peers" sheetId="5" state="visible" r:id="rId5"/>
    <sheet xmlns:r="http://schemas.openxmlformats.org/officeDocument/2006/relationships" name="Relative" sheetId="6" state="visible" r:id="rId6"/>
    <sheet xmlns:r="http://schemas.openxmlformats.org/officeDocument/2006/relationships" name="ReverseDCF" sheetId="7" state="visible" r:id="rId7"/>
    <sheet xmlns:r="http://schemas.openxmlformats.org/officeDocument/2006/relationships" name="Sensitivity" sheetId="8" state="visible" r:id="rId8"/>
  </sheets>
  <definedNames/>
  <calcPr calcId="124519" fullCalcOnLoad="1"/>
</workbook>
</file>

<file path=xl/styles.xml><?xml version="1.0" encoding="utf-8"?>
<styleSheet xmlns="http://schemas.openxmlformats.org/spreadsheetml/2006/main">
  <numFmts count="3">
    <numFmt numFmtId="164" formatCode="0.000"/>
    <numFmt numFmtId="165" formatCode="0.0000"/>
    <numFmt numFmtId="166" formatCode="0.00&quot;x&quot;"/>
  </numFmts>
  <fonts count="9">
    <font>
      <name val="Calibri"/>
      <family val="2"/>
      <color theme="1"/>
      <sz val="11"/>
      <scheme val="minor"/>
    </font>
    <font>
      <name val="Calibri"/>
      <b val="1"/>
      <color rgb="001F3864"/>
      <sz val="14"/>
    </font>
    <font>
      <name val="Calibri"/>
      <i val="1"/>
      <color rgb="00595959"/>
      <sz val="9"/>
    </font>
    <font>
      <name val="Calibri"/>
      <b val="1"/>
      <sz val="10"/>
    </font>
    <font>
      <name val="Calibri"/>
      <color rgb="000000FF"/>
      <sz val="10"/>
    </font>
    <font>
      <name val="Calibri"/>
      <color rgb="00000000"/>
      <sz val="10"/>
    </font>
    <font>
      <b val="1"/>
      <color rgb="001F3864"/>
      <sz val="11"/>
    </font>
    <font>
      <name val="Calibri"/>
      <b val="1"/>
      <color rgb="00FFFFFF"/>
      <sz val="10"/>
    </font>
    <font>
      <name val="Calibri"/>
      <color rgb="00008000"/>
      <sz val="10"/>
    </font>
  </fonts>
  <fills count="5">
    <fill>
      <patternFill/>
    </fill>
    <fill>
      <patternFill patternType="gray125"/>
    </fill>
    <fill>
      <patternFill patternType="solid">
        <fgColor rgb="00EAF1FB"/>
      </patternFill>
    </fill>
    <fill>
      <patternFill patternType="solid">
        <fgColor rgb="00FFFF00"/>
      </patternFill>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0">
    <xf numFmtId="0" fontId="0" fillId="0" borderId="0" pivotButton="0" quotePrefix="0" xfId="0"/>
    <xf numFmtId="0" fontId="1" fillId="0" borderId="0" applyAlignment="1" pivotButton="0" quotePrefix="0" xfId="0">
      <alignment vertical="center" indent="6"/>
    </xf>
    <xf numFmtId="0" fontId="2" fillId="0" borderId="0" applyAlignment="1" pivotButton="0" quotePrefix="0" xfId="0">
      <alignment vertical="center" indent="6"/>
    </xf>
    <xf numFmtId="0" fontId="3" fillId="0" borderId="0" pivotButton="0" quotePrefix="0" xfId="0"/>
    <xf numFmtId="0" fontId="6" fillId="0" borderId="0" pivotButton="0" quotePrefix="0" xfId="0"/>
    <xf numFmtId="0" fontId="2" fillId="0" borderId="0" applyAlignment="1" pivotButton="0" quotePrefix="0" xfId="0">
      <alignment vertical="top" wrapText="1"/>
    </xf>
    <xf numFmtId="0" fontId="8" fillId="0" borderId="1" pivotButton="0" quotePrefix="0" xfId="0"/>
    <xf numFmtId="0" fontId="7" fillId="4" borderId="1" applyAlignment="1" pivotButton="0" quotePrefix="0" xfId="0">
      <alignment vertical="center" wrapText="1"/>
    </xf>
    <xf numFmtId="0" fontId="3" fillId="0" borderId="1" pivotButton="0" quotePrefix="0" xfId="0"/>
    <xf numFmtId="4" fontId="8" fillId="0" borderId="1" pivotButton="0" quotePrefix="0" xfId="0"/>
    <xf numFmtId="10" fontId="5" fillId="0" borderId="1" pivotButton="0" quotePrefix="0" xfId="0"/>
    <xf numFmtId="4" fontId="5" fillId="3" borderId="1" pivotButton="0" quotePrefix="0" xfId="0"/>
    <xf numFmtId="0" fontId="5" fillId="0" borderId="1" pivotButton="0" quotePrefix="0" xfId="0"/>
    <xf numFmtId="4" fontId="5" fillId="0" borderId="1" pivotButton="0" quotePrefix="0" xfId="0"/>
    <xf numFmtId="0" fontId="4" fillId="3" borderId="1" pivotButton="0" quotePrefix="0" xfId="0"/>
    <xf numFmtId="4" fontId="4" fillId="2" borderId="1" pivotButton="0" quotePrefix="0" xfId="0"/>
    <xf numFmtId="10" fontId="4" fillId="2" borderId="1" pivotButton="0" quotePrefix="0" xfId="0"/>
    <xf numFmtId="0" fontId="2" fillId="0" borderId="0" applyAlignment="1" pivotButton="0" quotePrefix="0" xfId="0">
      <alignment vertical="top"/>
    </xf>
    <xf numFmtId="1" fontId="4" fillId="3" borderId="1" pivotButton="0" quotePrefix="0" xfId="0"/>
    <xf numFmtId="0" fontId="5" fillId="0" borderId="0" pivotButton="0" quotePrefix="0" xfId="0"/>
    <xf numFmtId="0" fontId="4" fillId="2" borderId="1" pivotButton="0" quotePrefix="0" xfId="0"/>
    <xf numFmtId="0" fontId="2" fillId="0" borderId="0" pivotButton="0" quotePrefix="0" xfId="0"/>
    <xf numFmtId="2" fontId="4" fillId="2" borderId="1" pivotButton="0" quotePrefix="0" xfId="0"/>
    <xf numFmtId="10" fontId="5" fillId="3" borderId="1" pivotButton="0" quotePrefix="0" xfId="0"/>
    <xf numFmtId="164" fontId="5" fillId="0" borderId="1" pivotButton="0" quotePrefix="0" xfId="0"/>
    <xf numFmtId="10" fontId="8" fillId="0" borderId="1" pivotButton="0" quotePrefix="0" xfId="0"/>
    <xf numFmtId="165" fontId="5" fillId="0" borderId="1" pivotButton="0" quotePrefix="0" xfId="0"/>
    <xf numFmtId="166" fontId="5" fillId="0" borderId="1" pivotButton="0" quotePrefix="0" xfId="0"/>
    <xf numFmtId="166" fontId="5" fillId="3" borderId="1" pivotButton="0" quotePrefix="0" xfId="0"/>
    <xf numFmtId="166" fontId="8" fillId="0" borderId="1" pivotButton="0" quotePrefix="0" xfId="0"/>
  </cellXfs>
  <cellStyles count="1">
    <cellStyle name="Normal" xfId="0" builtinId="0" hidden="0"/>
  </cellStyles>
  <dxfs count="3">
    <dxf>
      <fill>
        <patternFill patternType="solid">
          <fgColor rgb="00F8CBAD"/>
        </patternFill>
      </fill>
    </dxf>
    <dxf>
      <fill>
        <patternFill patternType="solid">
          <fgColor rgb="00FFE699"/>
        </patternFill>
      </fill>
    </dxf>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image" Target="/xl/media/image7.png" Id="rId1"/></Relationships>
</file>

<file path=xl/drawings/_rels/drawing8.xml.rels><Relationships xmlns="http://schemas.openxmlformats.org/package/2006/relationships"><Relationship Type="http://schemas.openxmlformats.org/officeDocument/2006/relationships/image" Target="/xl/media/image8.png" Id="rId1"/></Relationships>
</file>

<file path=xl/drawings/drawing1.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7.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8.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_rels/sheet8.xml.rels><Relationships xmlns="http://schemas.openxmlformats.org/package/2006/relationships"><Relationship Type="http://schemas.openxmlformats.org/officeDocument/2006/relationships/drawing" Target="/xl/drawings/drawing8.xml" Id="rId1"/></Relationships>
</file>

<file path=xl/worksheets/sheet1.xml><?xml version="1.0" encoding="utf-8"?>
<worksheet xmlns="http://schemas.openxmlformats.org/spreadsheetml/2006/main">
  <sheetPr>
    <outlinePr summaryBelow="1" summaryRight="1"/>
    <pageSetUpPr/>
  </sheetPr>
  <dimension ref="A1:A27"/>
  <sheetViews>
    <sheetView showGridLines="0" workbookViewId="0">
      <selection activeCell="A1" sqref="A1"/>
    </sheetView>
  </sheetViews>
  <sheetFormatPr baseColWidth="8" defaultRowHeight="15"/>
  <cols>
    <col width="120" customWidth="1" min="1" max="1"/>
  </cols>
  <sheetData>
    <row r="1" ht="24" customHeight="1">
      <c r="A1" s="1" t="inlineStr">
        <is>
          <t>Peer Comps &amp; Valuation Model</t>
        </is>
      </c>
    </row>
    <row r="2" ht="20" customHeight="1">
      <c r="A2" s="2" t="inlineStr">
        <is>
          <t>Parshwanath Capital Ventures Fund | SEBI Registered CAT III AIF | IN/AIF3/25-26/2108 | Fund Manager: CA Deep Dalal | Sponsor: Jignesh Shah</t>
        </is>
      </c>
    </row>
    <row r="4">
      <c r="A4" t="inlineStr">
        <is>
          <t>Sheets: Assumptions (only input sheet) &gt; Peers &gt; Relative &gt; DCF &gt; ReverseDCF &gt; Sensitivity &gt; Summary.</t>
        </is>
      </c>
    </row>
    <row r="5">
      <c r="A5" t="inlineStr">
        <is>
          <t>Scenario toggle: Assumptions!C5 (1 = Bear, 2 = Neutral, 3 = Bull). Every driver needs a rationale and page cite.</t>
        </is>
      </c>
    </row>
    <row r="6">
      <c r="A6" t="inlineStr">
        <is>
          <t>DCF and relative values are shown separately, then blended (default 60:40; use 80:20 if no listed peers).</t>
        </is>
      </c>
    </row>
    <row r="7">
      <c r="A7" t="inlineStr">
        <is>
          <t>Terminal growth 4.50%. Capex = D&amp;A + k x change in revenue. Terminal reinvestment = g / terminal ROIC.</t>
        </is>
      </c>
    </row>
    <row r="8">
      <c r="A8" t="inlineStr">
        <is>
          <t>Bear case excludes the IPO-funded capex object AND its funding. Share count is post-issue, fully diluted.</t>
        </is>
      </c>
    </row>
    <row r="9">
      <c r="A9" t="inlineStr">
        <is>
          <t>Peer multiples: P/E, EV/EBITDA, P/B. EV/Sales is deliberately excluded.</t>
        </is>
      </c>
    </row>
    <row r="10">
      <c r="A10" t="inlineStr">
        <is>
          <t>Match peers on business model before industry code, and on the same basis (consolidated / standalone).</t>
        </is>
      </c>
    </row>
    <row r="11">
      <c r="A11" t="inlineStr">
        <is>
          <t>Upside is reported as % only. Grey market premium never moves fair value.</t>
        </is>
      </c>
    </row>
    <row r="12">
      <c r="A12" t="inlineStr"/>
    </row>
    <row r="13">
      <c r="A13" t="inlineStr">
        <is>
          <t>Colours: blue = input | black = formula | green = link | yellow = key cell.</t>
        </is>
      </c>
    </row>
    <row r="14">
      <c r="A14" s="3" t="inlineStr">
        <is>
          <t>Issuer build: figures from the offer document (page cites in notes). BLANK cell = declared data gap.</t>
        </is>
      </c>
    </row>
    <row r="15">
      <c r="A15" t="inlineStr"/>
    </row>
    <row r="16">
      <c r="A16" s="3" t="inlineStr">
        <is>
          <t>For information only. Not an offer, solicitation or recommendation, and not investment advice or a research report. The Fund may hold or bid for securities of issuers discussed. Investments in securities market are subject to market risks. Read all the related documents carefully before investing. Registration granted by SEBI in no way guarantees performance of the Fund or provides any assurance of returns to investors.</t>
        </is>
      </c>
    </row>
    <row r="18">
      <c r="A18" s="4" t="inlineStr">
        <is>
          <t>Disclaimer and disclosures</t>
        </is>
      </c>
    </row>
    <row r="19" ht="45" customHeight="1">
      <c r="A19" s="5" t="inlineStr">
        <is>
          <t>This material is published by Parshwanath Capital Ventures Fund, a Category III Alternative Investment Fund registered with the Securities and Exchange Board of India (SEBI) under the SEBI (Alternative Investment Funds) Regulations, 2012, Registration No. IN/AIF3/25-26/2108. Fund Manager: CA Deep Dalal. Sponsor: Jignesh Shah.</t>
        </is>
      </c>
    </row>
    <row r="20" ht="60" customHeight="1">
      <c r="A20" s="5" t="inlineStr">
        <is>
          <t>This material is for information and educational purposes only. It does not constitute an offer, invitation, solicitation or recommendation to buy, sell, subscribe to or bid for any security, and it is not investment advice within the meaning of the SEBI (Investment Advisers) Regulations, 2013 or a research report within the meaning of the SEBI (Research Analysts) Regulations, 2014. Calls such as 'Subscribe', 'Neutral', 'Avoid' or 'Screen only' record the Fund's internal analytical view of an offer document and are not a recommendation to any reader.</t>
        </is>
      </c>
    </row>
    <row r="21" ht="45" customHeight="1">
      <c r="A21" s="5" t="inlineStr">
        <is>
          <t>Units of the Fund are offered only on a private placement basis to eligible investors through the Fund's Private Placement Memorandum, in accordance with the SEBI (Alternative Investment Funds) Regulations, 2012. Nothing in this material is, or should be construed as, a solicitation of investment in the Fund.</t>
        </is>
      </c>
    </row>
    <row r="22" ht="75" customHeight="1">
      <c r="A22" s="5" t="inlineStr">
        <is>
          <t>The analysis is based on offer documents (DRHP / RHP / prospectus) filed with SEBI and the stock exchanges and on other publicly available information. Figures from sources other than the offer document are identified as such and have not been independently verified. Valuation models, scenarios and projections are illustrative, depend on stated assumptions, and are not forecasts or assurances of future performance. No representation or warranty is given as to accuracy or completeness, and the Fund, its Manager, Sponsor, employees and associates accept no liability for any loss arising from the use of this material.</t>
        </is>
      </c>
    </row>
    <row r="23" ht="45" customHeight="1">
      <c r="A23" s="5" t="inlineStr">
        <is>
          <t>Disclosure of interest: the Fund, its Manager, Sponsor and their associates may apply for, bid in (including as Anchor Investor or Qualified Institutional Buyer), hold, buy or sell securities of any issuer discussed, before or after publication, and may act in a manner inconsistent with the views expressed here.</t>
        </is>
      </c>
    </row>
    <row r="24" ht="45" customHeight="1">
      <c r="A24" s="5" t="inlineStr">
        <is>
          <t>Investors should rely on their own examination of the offer document, including its risk factors, and consult their own financial, legal and tax advisers before making any investment decision. Past performance, including of any issuer or lead manager, is not indicative of future results.</t>
        </is>
      </c>
    </row>
    <row r="25" ht="15" customHeight="1">
      <c r="A25" s="5" t="inlineStr">
        <is>
          <t>Investments in securities market are subject to market risks. Read all the related documents carefully before investing.</t>
        </is>
      </c>
    </row>
    <row r="26" ht="15" customHeight="1">
      <c r="A26" s="5" t="inlineStr">
        <is>
          <t>Registration granted by SEBI in no way guarantees performance of the Fund or its Manager or provides any assurance of returns to investors.</t>
        </is>
      </c>
    </row>
    <row r="27" ht="15" customHeight="1">
      <c r="A27" s="5" t="inlineStr">
        <is>
          <t>Investor grievances: fundmanager@parshwanath.in. Complaints may also be lodged with SEBI through SCORES at https://scores.sebi.gov.in.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E31"/>
  <sheetViews>
    <sheetView showGridLines="0" workbookViewId="0">
      <selection activeCell="A1" sqref="A1"/>
    </sheetView>
  </sheetViews>
  <sheetFormatPr baseColWidth="8" defaultRowHeight="15"/>
  <cols>
    <col width="2" customWidth="1" min="1" max="1"/>
    <col width="40" customWidth="1" min="2" max="2"/>
    <col width="34" customWidth="1" min="3" max="3"/>
    <col width="16" customWidth="1" min="4" max="4"/>
    <col width="16" customWidth="1" min="5" max="5"/>
  </cols>
  <sheetData>
    <row r="1" ht="24" customHeight="1">
      <c r="A1" s="1" t="inlineStr">
        <is>
          <t>Valuation summary</t>
        </is>
      </c>
    </row>
    <row r="2" ht="20" customHeight="1">
      <c r="A2" s="2" t="inlineStr">
        <is>
          <t>Parshwanath Capital Ventures Fund | SEBI Registered CAT III AIF | IN/AIF3/25-26/2108 | Fund Manager: CA Deep Dalal | Sponsor: Jignesh Shah</t>
        </is>
      </c>
    </row>
    <row r="4">
      <c r="B4" s="6">
        <f>"Scenario: "&amp;Assumptions!$D$5&amp;"  |  Issuer: "&amp;'Assumptions'!$C$8</f>
        <v/>
      </c>
    </row>
    <row r="6">
      <c r="B6" s="7" t="inlineStr">
        <is>
          <t>Method</t>
        </is>
      </c>
      <c r="C6" s="7" t="inlineStr">
        <is>
          <t>Value / share (Rs)</t>
        </is>
      </c>
      <c r="D6" s="7" t="inlineStr">
        <is>
          <t>Upside vs floor</t>
        </is>
      </c>
      <c r="E6" s="7" t="inlineStr">
        <is>
          <t>Upside vs cap</t>
        </is>
      </c>
    </row>
    <row r="7">
      <c r="B7" s="8" t="inlineStr">
        <is>
          <t>DCF</t>
        </is>
      </c>
      <c r="C7" s="9">
        <f>DCF!C37</f>
        <v/>
      </c>
      <c r="D7" s="10">
        <f>IFERROR(C7/'Assumptions'!$C$15-1,"")</f>
        <v/>
      </c>
      <c r="E7" s="10">
        <f>IFERROR(C7/'Assumptions'!$C$16-1,"")</f>
        <v/>
      </c>
    </row>
    <row r="8">
      <c r="B8" s="8" t="inlineStr">
        <is>
          <t>Relative</t>
        </is>
      </c>
      <c r="C8" s="9">
        <f>Relative!F11</f>
        <v/>
      </c>
      <c r="D8" s="10">
        <f>IFERROR(C8/'Assumptions'!$C$15-1,"")</f>
        <v/>
      </c>
      <c r="E8" s="10">
        <f>IFERROR(C8/'Assumptions'!$C$16-1,"")</f>
        <v/>
      </c>
    </row>
    <row r="9">
      <c r="B9" s="8" t="inlineStr">
        <is>
          <t>Blended (DCF weight per Assumptions)</t>
        </is>
      </c>
      <c r="C9" s="11">
        <f>IF(ISNUMBER(C8),'Assumptions'!$C$48*C7+(1-'Assumptions'!$C$48)*C8,C7)</f>
        <v/>
      </c>
      <c r="D9" s="10">
        <f>IFERROR(C9/'Assumptions'!$C$15-1,"")</f>
        <v/>
      </c>
      <c r="E9" s="10">
        <f>IFERROR(C9/'Assumptions'!$C$16-1,"")</f>
        <v/>
      </c>
    </row>
    <row r="11">
      <c r="B11" s="8" t="inlineStr">
        <is>
          <t>DCF vs relative divergence</t>
        </is>
      </c>
      <c r="C11" s="10">
        <f>IFERROR(C7/C8-1,"n.a.")</f>
        <v/>
      </c>
    </row>
    <row r="12">
      <c r="B12" s="8" t="inlineStr">
        <is>
          <t>Divergence flag</t>
        </is>
      </c>
      <c r="C12" s="12">
        <f>IF(ISNUMBER(C11),IF(ABS(C11)&gt;0.25,"AMBER: DCF and relative diverge by "&amp;TEXT(C11,"0.0%")&amp;" - the divergence is the finding; name its cause","OK"),"n.a.")</f>
        <v/>
      </c>
    </row>
    <row r="13">
      <c r="B13" s="8" t="inlineStr">
        <is>
          <t>Objects floor price</t>
        </is>
      </c>
      <c r="C13" s="13">
        <f>'Assumptions'!$C$63</f>
        <v/>
      </c>
    </row>
    <row r="14">
      <c r="B14" s="8" t="inlineStr">
        <is>
          <t>Objects floor vs blended value</t>
        </is>
      </c>
      <c r="C14" s="12">
        <f>IF(ISNUMBER(C13),IF(C13&gt;C9,"RED: objects floor sits above blended fair value","OK"),"n.a.")</f>
        <v/>
      </c>
    </row>
    <row r="15">
      <c r="B15" s="8" t="inlineStr">
        <is>
          <t>Terminal value share</t>
        </is>
      </c>
      <c r="C15" s="12">
        <f>DCF!C40</f>
        <v/>
      </c>
    </row>
    <row r="16">
      <c r="B16" s="8" t="inlineStr">
        <is>
          <t>WACC - g</t>
        </is>
      </c>
      <c r="C16" s="12">
        <f>DCF!C41</f>
        <v/>
      </c>
    </row>
    <row r="17">
      <c r="B17" s="8" t="inlineStr">
        <is>
          <t>Terminal ROIC vs WACC</t>
        </is>
      </c>
      <c r="C17" s="12">
        <f>DCF!C42</f>
        <v/>
      </c>
    </row>
    <row r="18">
      <c r="B18" s="8" t="inlineStr">
        <is>
          <t>Reverse DCF (at cap)</t>
        </is>
      </c>
      <c r="C18" s="12">
        <f>ReverseDCF!C16</f>
        <v/>
      </c>
    </row>
    <row r="20">
      <c r="B20" s="8" t="inlineStr">
        <is>
          <t>Call (Subscribe / Avoid / Neutral)</t>
        </is>
      </c>
      <c r="C20" s="14" t="inlineStr"/>
    </row>
    <row r="22">
      <c r="B22" s="3" t="inlineStr">
        <is>
          <t>Record of all three scenarios (switch Assumptions!C5, paste values here)</t>
        </is>
      </c>
    </row>
    <row r="23">
      <c r="B23" s="7" t="inlineStr"/>
      <c r="C23" s="7" t="inlineStr">
        <is>
          <t>Bear</t>
        </is>
      </c>
      <c r="D23" s="7" t="inlineStr">
        <is>
          <t>Neutral</t>
        </is>
      </c>
      <c r="E23" s="7" t="inlineStr">
        <is>
          <t>Bull</t>
        </is>
      </c>
    </row>
    <row r="24">
      <c r="B24" t="inlineStr">
        <is>
          <t>DCF / share</t>
        </is>
      </c>
      <c r="C24" s="15" t="n"/>
      <c r="D24" s="15" t="n"/>
      <c r="E24" s="15" t="n"/>
    </row>
    <row r="25">
      <c r="B25" t="inlineStr">
        <is>
          <t>Relative / share</t>
        </is>
      </c>
      <c r="C25" s="15" t="n"/>
      <c r="D25" s="15" t="n"/>
      <c r="E25" s="15" t="n"/>
    </row>
    <row r="26">
      <c r="B26" t="inlineStr">
        <is>
          <t>Blended / share</t>
        </is>
      </c>
      <c r="C26" s="15" t="n"/>
      <c r="D26" s="15" t="n"/>
      <c r="E26" s="15" t="n"/>
    </row>
    <row r="27">
      <c r="B27" t="inlineStr">
        <is>
          <t>Upside vs cap</t>
        </is>
      </c>
      <c r="C27" s="16" t="n"/>
      <c r="D27" s="16" t="n"/>
      <c r="E27" s="16" t="n"/>
    </row>
    <row r="29">
      <c r="B29" s="17" t="inlineStr">
        <is>
          <t>Upside is reported as a percentage only. No position sizing. Returns are pre-tax.</t>
        </is>
      </c>
    </row>
    <row r="31">
      <c r="B31" s="3" t="inlineStr">
        <is>
          <t>For information only. Not an offer, solicitation or recommendation, and not investment advice or a research report. The Fund may hold or bid for securities of issuers discussed. Investments in securities market are subject to market risks. Read all the related documents carefully before investing. Registration granted by SEBI in no way guarantees performance of the Fund or provides any assurance of returns to investors.</t>
        </is>
      </c>
    </row>
  </sheetData>
  <conditionalFormatting sqref="C12:C17">
    <cfRule type="expression" priority="1" dxfId="0">
      <formula>LEFT(C12,3)="RED"</formula>
    </cfRule>
    <cfRule type="expression" priority="2" dxfId="0">
      <formula>LEFT(C12,4)="FAIL"</formula>
    </cfRule>
    <cfRule type="expression" priority="3" dxfId="0">
      <formula>LEFT(C12,12)="INCONSISTENT"</formula>
    </cfRule>
    <cfRule type="expression" priority="4" dxfId="0">
      <formula>LEFT(C12,10)="DEGENERATE"</formula>
    </cfRule>
    <cfRule type="expression" priority="5" dxfId="1">
      <formula>LEFT(C12,5)="AMBER"</formula>
    </cfRule>
    <cfRule type="expression" priority="6" dxfId="1">
      <formula>LEFT(C12,5)="WATCH"</formula>
    </cfRule>
    <cfRule type="expression" priority="7" dxfId="2">
      <formula>LEFT(C12,2)="OK"</formula>
    </cfRule>
    <cfRule type="expression" priority="8" dxfId="2">
      <formula>LEFT(C12,4)="PASS"</formula>
    </cfRule>
  </conditionalFormatting>
  <dataValidations count="1">
    <dataValidation sqref="C20" showDropDown="0" showInputMessage="0" showErrorMessage="0" allowBlank="1" type="list">
      <formula1>"Subscribe,Avoid,Neutral"</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H74"/>
  <sheetViews>
    <sheetView showGridLines="0" workbookViewId="0">
      <selection activeCell="A1" sqref="A1"/>
    </sheetView>
  </sheetViews>
  <sheetFormatPr baseColWidth="8" defaultRowHeight="15"/>
  <cols>
    <col width="2" customWidth="1" min="1" max="1"/>
    <col width="50" customWidth="1" min="2" max="2"/>
    <col width="30" customWidth="1" min="3" max="3"/>
    <col width="10" customWidth="1" min="4" max="4"/>
    <col width="14" customWidth="1" min="5" max="5"/>
    <col width="14" customWidth="1" min="6" max="6"/>
    <col width="14" customWidth="1" min="7" max="7"/>
    <col width="44" customWidth="1" min="8" max="8"/>
  </cols>
  <sheetData>
    <row r="1" ht="24" customHeight="1">
      <c r="A1" s="1" t="inlineStr">
        <is>
          <t>Assumptions - the only input sheet</t>
        </is>
      </c>
    </row>
    <row r="2" ht="20" customHeight="1">
      <c r="A2" s="2" t="inlineStr">
        <is>
          <t>Parshwanath Capital Ventures Fund | SEBI Registered CAT III AIF | IN/AIF3/25-26/2108 | Fund Manager: CA Deep Dalal | Sponsor: Jignesh Shah</t>
        </is>
      </c>
    </row>
    <row r="5">
      <c r="B5" s="3" t="inlineStr">
        <is>
          <t>Scenario (1 = Bear, 2 = Neutral, 3 = Bull)</t>
        </is>
      </c>
      <c r="C5" s="18" t="n">
        <v>2</v>
      </c>
      <c r="D5" s="12">
        <f>CHOOSE($C$5,"Bear","Neutral","Bull")</f>
        <v/>
      </c>
    </row>
    <row r="7">
      <c r="B7" s="4" t="inlineStr">
        <is>
          <t>Issuer and offer</t>
        </is>
      </c>
    </row>
    <row r="8">
      <c r="B8" s="19" t="inlineStr">
        <is>
          <t>Issuer</t>
        </is>
      </c>
      <c r="C8" s="20" t="inlineStr">
        <is>
          <t>Vedant Poly Fabs Limited</t>
        </is>
      </c>
      <c r="D8" s="21" t="inlineStr"/>
    </row>
    <row r="9">
      <c r="B9" s="19" t="inlineStr">
        <is>
          <t>Financial basis</t>
        </is>
      </c>
      <c r="C9" s="20" t="inlineStr">
        <is>
          <t>Standalone</t>
        </is>
      </c>
      <c r="D9" s="21" t="inlineStr"/>
      <c r="E9" s="17" t="inlineStr">
        <is>
          <t>Use the same basis for every peer</t>
        </is>
      </c>
    </row>
    <row r="10">
      <c r="B10" s="19" t="inlineStr">
        <is>
          <t>Pre-issue shares, fully diluted (post any bonus)</t>
        </is>
      </c>
      <c r="C10" s="15" t="n">
        <v>1.4725</v>
      </c>
      <c r="D10" s="21" t="inlineStr">
        <is>
          <t>crore</t>
        </is>
      </c>
      <c r="E10" s="17" t="inlineStr">
        <is>
          <t>Check bonus restatement (forensic check 1)</t>
        </is>
      </c>
    </row>
    <row r="11">
      <c r="B11" s="19" t="inlineStr">
        <is>
          <t>ESOP / convertibles outstanding</t>
        </is>
      </c>
      <c r="C11" s="15" t="n">
        <v>0</v>
      </c>
      <c r="D11" s="21" t="inlineStr">
        <is>
          <t>crore</t>
        </is>
      </c>
    </row>
    <row r="12">
      <c r="B12" s="19" t="inlineStr">
        <is>
          <t>Fresh issue amount (fixed at objects need)</t>
        </is>
      </c>
      <c r="C12" s="15" t="n">
        <v>51.008</v>
      </c>
      <c r="D12" s="21" t="inlineStr">
        <is>
          <t>Rs cr</t>
        </is>
      </c>
    </row>
    <row r="13">
      <c r="B13" s="19" t="inlineStr">
        <is>
          <t>Fresh shares fixed in DRHP (0 if amount-based)</t>
        </is>
      </c>
      <c r="C13" s="15" t="n">
        <v>0.54264</v>
      </c>
      <c r="D13" s="21" t="inlineStr">
        <is>
          <t>crore</t>
        </is>
      </c>
    </row>
    <row r="14">
      <c r="B14" s="19" t="inlineStr">
        <is>
          <t>OFS shares (no effect on share count)</t>
        </is>
      </c>
      <c r="C14" s="15" t="n">
        <v>0.06036</v>
      </c>
      <c r="D14" s="21" t="inlineStr">
        <is>
          <t>crore</t>
        </is>
      </c>
    </row>
    <row r="15">
      <c r="B15" s="19" t="inlineStr">
        <is>
          <t>Price band - floor</t>
        </is>
      </c>
      <c r="C15" s="15" t="n">
        <v>88</v>
      </c>
      <c r="D15" s="21" t="inlineStr">
        <is>
          <t>Rs</t>
        </is>
      </c>
    </row>
    <row r="16">
      <c r="B16" s="19" t="inlineStr">
        <is>
          <t>Price band - cap</t>
        </is>
      </c>
      <c r="C16" s="15" t="n">
        <v>94</v>
      </c>
      <c r="D16" s="21" t="inlineStr">
        <is>
          <t>Rs</t>
        </is>
      </c>
    </row>
    <row r="17">
      <c r="B17" s="19" t="inlineStr">
        <is>
          <t>Valuation reference price</t>
        </is>
      </c>
      <c r="C17" s="13">
        <f>'Assumptions'!$C$16</f>
        <v/>
      </c>
      <c r="D17" s="21" t="inlineStr">
        <is>
          <t>Rs</t>
        </is>
      </c>
      <c r="E17" s="17" t="inlineStr">
        <is>
          <t>Defaults to cap; overwrite if needed</t>
        </is>
      </c>
    </row>
    <row r="18">
      <c r="B18" s="19" t="inlineStr">
        <is>
          <t>Specific objects (excl. GCP and offer expenses)</t>
        </is>
      </c>
      <c r="C18" s="15" t="n">
        <v>32.1</v>
      </c>
      <c r="D18" s="21" t="inlineStr">
        <is>
          <t>Rs cr</t>
        </is>
      </c>
    </row>
    <row r="19">
      <c r="B19" s="19" t="inlineStr">
        <is>
          <t>Offer expenses as % of fresh issue</t>
        </is>
      </c>
      <c r="C19" s="16" t="n">
        <v>0.06</v>
      </c>
      <c r="D19" s="21" t="inlineStr"/>
    </row>
    <row r="20">
      <c r="B20" s="19" t="inlineStr">
        <is>
          <t>GCP as % of fresh issue</t>
        </is>
      </c>
      <c r="C20" s="16" t="n">
        <v>0</v>
      </c>
      <c r="D20" s="21" t="inlineStr"/>
      <c r="E20" s="17" t="inlineStr">
        <is>
          <t>Check against regulatory cap</t>
        </is>
      </c>
    </row>
    <row r="21">
      <c r="B21" s="19" t="inlineStr">
        <is>
          <t>IPO-funded capex object</t>
        </is>
      </c>
      <c r="C21" s="15" t="n">
        <v>6.51</v>
      </c>
      <c r="D21" s="21" t="inlineStr">
        <is>
          <t>Rs cr</t>
        </is>
      </c>
    </row>
    <row r="22">
      <c r="B22" s="19" t="inlineStr">
        <is>
          <t>Share of IPO capex spent in Y1 (rest in Y2)</t>
        </is>
      </c>
      <c r="C22" s="16" t="n">
        <v>0.6</v>
      </c>
      <c r="D22" s="21" t="inlineStr"/>
    </row>
    <row r="24">
      <c r="B24" s="4" t="inlineStr">
        <is>
          <t>Latest audited year (restated) - never annualise a stub</t>
        </is>
      </c>
    </row>
    <row r="25">
      <c r="B25" s="19" t="inlineStr">
        <is>
          <t>Revenue from operations</t>
        </is>
      </c>
      <c r="C25" s="15" t="n">
        <v>115.14</v>
      </c>
      <c r="D25" s="21" t="inlineStr">
        <is>
          <t>Rs cr</t>
        </is>
      </c>
    </row>
    <row r="26">
      <c r="B26" s="19" t="inlineStr">
        <is>
          <t>Revenue - prior year</t>
        </is>
      </c>
      <c r="C26" s="15" t="n">
        <v>81.58</v>
      </c>
      <c r="D26" s="21" t="inlineStr">
        <is>
          <t>Rs cr</t>
        </is>
      </c>
    </row>
    <row r="27">
      <c r="B27" s="19" t="inlineStr">
        <is>
          <t>EBITDA (ties to issuer KPI table)</t>
        </is>
      </c>
      <c r="C27" s="15" t="n">
        <v>19.18</v>
      </c>
      <c r="D27" s="21" t="inlineStr">
        <is>
          <t>Rs cr</t>
        </is>
      </c>
    </row>
    <row r="28">
      <c r="B28" s="19" t="inlineStr">
        <is>
          <t>Depreciation &amp; amortisation</t>
        </is>
      </c>
      <c r="C28" s="15" t="n">
        <v>1.8</v>
      </c>
      <c r="D28" s="21" t="inlineStr">
        <is>
          <t>Rs cr</t>
        </is>
      </c>
    </row>
    <row r="29">
      <c r="B29" s="19" t="inlineStr">
        <is>
          <t>PAT</t>
        </is>
      </c>
      <c r="C29" s="15" t="n">
        <v>10.97</v>
      </c>
      <c r="D29" s="21" t="inlineStr">
        <is>
          <t>Rs cr</t>
        </is>
      </c>
    </row>
    <row r="30">
      <c r="B30" s="19" t="inlineStr">
        <is>
          <t>Net worth (pre-issue)</t>
        </is>
      </c>
      <c r="C30" s="15" t="n">
        <v>42.26</v>
      </c>
      <c r="D30" s="21" t="inlineStr">
        <is>
          <t>Rs cr</t>
        </is>
      </c>
    </row>
    <row r="31">
      <c r="B31" s="19" t="inlineStr">
        <is>
          <t>Net debt (borrowings - cash)</t>
        </is>
      </c>
      <c r="C31" s="15" t="n">
        <v>46.82</v>
      </c>
      <c r="D31" s="21" t="inlineStr">
        <is>
          <t>Rs cr</t>
        </is>
      </c>
    </row>
    <row r="32">
      <c r="B32" s="19" t="inlineStr">
        <is>
          <t>Net working capital</t>
        </is>
      </c>
      <c r="C32" s="15" t="n">
        <v>46.27</v>
      </c>
      <c r="D32" s="21" t="inlineStr">
        <is>
          <t>Rs cr</t>
        </is>
      </c>
      <c r="E32" s="17" t="inlineStr">
        <is>
          <t>Reconcile to Objects-chapter WC table</t>
        </is>
      </c>
    </row>
    <row r="33">
      <c r="B33" s="19" t="inlineStr">
        <is>
          <t>Net working capital - prior year</t>
        </is>
      </c>
      <c r="C33" s="15" t="n">
        <v>19.27</v>
      </c>
      <c r="D33" s="21" t="inlineStr">
        <is>
          <t>Rs cr</t>
        </is>
      </c>
    </row>
    <row r="34">
      <c r="B34" s="19" t="inlineStr">
        <is>
          <t>Capex (purchase of PPE + intangibles)</t>
        </is>
      </c>
      <c r="C34" s="15" t="n">
        <v>12</v>
      </c>
      <c r="D34" s="21" t="inlineStr">
        <is>
          <t>Rs cr</t>
        </is>
      </c>
    </row>
    <row r="35">
      <c r="B35" s="19" t="inlineStr">
        <is>
          <t>Tax rate</t>
        </is>
      </c>
      <c r="C35" s="16" t="n">
        <v>0.2517</v>
      </c>
      <c r="D35" s="21" t="inlineStr"/>
    </row>
    <row r="37">
      <c r="B37" s="4" t="inlineStr">
        <is>
          <t>Cost of capital (CAPM build-up)</t>
        </is>
      </c>
    </row>
    <row r="38">
      <c r="B38" s="19" t="inlineStr">
        <is>
          <t>Risk-free rate (10y G-sec)</t>
        </is>
      </c>
      <c r="C38" s="16" t="n">
        <v>0.065</v>
      </c>
      <c r="D38" s="21" t="inlineStr"/>
    </row>
    <row r="39">
      <c r="B39" s="19" t="inlineStr">
        <is>
          <t>Beta</t>
        </is>
      </c>
      <c r="C39" s="22" t="n">
        <v>1.1</v>
      </c>
      <c r="D39" s="21" t="inlineStr"/>
    </row>
    <row r="40">
      <c r="B40" s="19" t="inlineStr">
        <is>
          <t>Equity risk premium</t>
        </is>
      </c>
      <c r="C40" s="16" t="n">
        <v>0.07000000000000001</v>
      </c>
      <c r="D40" s="21" t="inlineStr"/>
    </row>
    <row r="41">
      <c r="B41" s="19" t="inlineStr">
        <is>
          <t>Size premium</t>
        </is>
      </c>
      <c r="C41" s="16" t="n">
        <v>0.02</v>
      </c>
      <c r="D41" s="21" t="inlineStr"/>
    </row>
    <row r="42">
      <c r="B42" s="19" t="inlineStr">
        <is>
          <t>Company-specific premium</t>
        </is>
      </c>
      <c r="C42" s="16" t="n">
        <v>0</v>
      </c>
      <c r="D42" s="21" t="inlineStr"/>
      <c r="E42" s="17" t="inlineStr">
        <is>
          <t>0 by default; up to 1% only for a specific, cited, non-routine risk</t>
        </is>
      </c>
    </row>
    <row r="43">
      <c r="B43" s="19" t="inlineStr">
        <is>
          <t>Pre-tax cost of debt</t>
        </is>
      </c>
      <c r="C43" s="16" t="n">
        <v>0.1</v>
      </c>
      <c r="D43" s="21" t="inlineStr"/>
    </row>
    <row r="44">
      <c r="B44" s="19" t="inlineStr">
        <is>
          <t>Target debt / (debt + equity)</t>
        </is>
      </c>
      <c r="C44" s="16" t="n">
        <v>0.2</v>
      </c>
      <c r="D44" s="21" t="inlineStr"/>
    </row>
    <row r="45">
      <c r="B45" s="19" t="inlineStr">
        <is>
          <t>Terminal growth</t>
        </is>
      </c>
      <c r="C45" s="16" t="n">
        <v>0.045</v>
      </c>
      <c r="D45" s="21" t="inlineStr"/>
    </row>
    <row r="47">
      <c r="B47" s="4" t="inlineStr">
        <is>
          <t>Blend and relative settings</t>
        </is>
      </c>
    </row>
    <row r="48">
      <c r="B48" s="19" t="inlineStr">
        <is>
          <t>DCF weight in blend</t>
        </is>
      </c>
      <c r="C48" s="16" t="n">
        <v>0.5</v>
      </c>
      <c r="D48" s="21" t="inlineStr"/>
      <c r="E48" s="17" t="inlineStr">
        <is>
          <t>70% where no comparable listed peers</t>
        </is>
      </c>
    </row>
    <row r="49">
      <c r="B49" s="19" t="inlineStr">
        <is>
          <t>Relative weight - P/E</t>
        </is>
      </c>
      <c r="C49" s="16" t="n">
        <v>0.4</v>
      </c>
      <c r="D49" s="21" t="inlineStr"/>
    </row>
    <row r="50">
      <c r="B50" s="19" t="inlineStr">
        <is>
          <t>Relative weight - EV/EBITDA</t>
        </is>
      </c>
      <c r="C50" s="16" t="n">
        <v>0.4</v>
      </c>
      <c r="D50" s="21" t="inlineStr"/>
    </row>
    <row r="51">
      <c r="B51" s="19" t="inlineStr">
        <is>
          <t>Relative weight - P/B</t>
        </is>
      </c>
      <c r="C51" s="16" t="n">
        <v>0.2</v>
      </c>
      <c r="D51" s="21" t="inlineStr"/>
    </row>
    <row r="52">
      <c r="B52" s="19" t="inlineStr">
        <is>
          <t>Discount to peer median</t>
        </is>
      </c>
      <c r="C52" s="16" t="n">
        <v>0</v>
      </c>
      <c r="D52" s="21" t="inlineStr"/>
      <c r="E52" s="17" t="inlineStr">
        <is>
          <t>0 by default; only for a clear business-model gap - state why</t>
        </is>
      </c>
    </row>
    <row r="54">
      <c r="B54" s="4" t="inlineStr">
        <is>
          <t>Derived (formulas)</t>
        </is>
      </c>
    </row>
    <row r="55">
      <c r="B55" s="19" t="inlineStr">
        <is>
          <t>Fresh issue net of offer expenses</t>
        </is>
      </c>
      <c r="C55" s="13">
        <f>'Assumptions'!$C$12*(1-'Assumptions'!$C$19)</f>
        <v/>
      </c>
      <c r="D55" s="21" t="inlineStr">
        <is>
          <t>Rs cr</t>
        </is>
      </c>
    </row>
    <row r="56">
      <c r="B56" s="19" t="inlineStr">
        <is>
          <t>Post-issue diluted shares at reference price</t>
        </is>
      </c>
      <c r="C56" s="13">
        <f>'Assumptions'!$C$10+'Assumptions'!$C$11+IF('Assumptions'!$C$13&gt;0,'Assumptions'!$C$13,'Assumptions'!$C$12/'Assumptions'!$C$17)</f>
        <v/>
      </c>
      <c r="D56" s="21" t="inlineStr">
        <is>
          <t>crore</t>
        </is>
      </c>
    </row>
    <row r="57">
      <c r="B57" s="19" t="inlineStr">
        <is>
          <t>IPO capex used in this scenario</t>
        </is>
      </c>
      <c r="C57" s="13">
        <f>IF(Assumptions!$C$5=1,0,'Assumptions'!$C$21)</f>
        <v/>
      </c>
      <c r="D57" s="21" t="inlineStr">
        <is>
          <t>Rs cr</t>
        </is>
      </c>
      <c r="E57" s="17" t="inlineStr">
        <is>
          <t>Bear: undersubscribed issue does not fund the project</t>
        </is>
      </c>
    </row>
    <row r="58">
      <c r="B58" s="19" t="inlineStr">
        <is>
          <t>Proceeds credited in EV-to-equity bridge</t>
        </is>
      </c>
      <c r="C58" s="13">
        <f>'Assumptions'!$C$55-'Assumptions'!$C$21+'Assumptions'!$C$57</f>
        <v/>
      </c>
      <c r="D58" s="21" t="inlineStr">
        <is>
          <t>Rs cr</t>
        </is>
      </c>
      <c r="E58" s="17" t="inlineStr">
        <is>
          <t>Bear excludes the capex object and its funding</t>
        </is>
      </c>
    </row>
    <row r="59">
      <c r="B59" s="19" t="inlineStr">
        <is>
          <t>Cost of equity</t>
        </is>
      </c>
      <c r="C59" s="10">
        <f>'Assumptions'!$C$38+'Assumptions'!$C$39*'Assumptions'!$C$40+'Assumptions'!$C$41+'Assumptions'!$C$42</f>
        <v/>
      </c>
      <c r="D59" s="21" t="inlineStr"/>
    </row>
    <row r="60">
      <c r="B60" s="19" t="inlineStr">
        <is>
          <t>WACC</t>
        </is>
      </c>
      <c r="C60" s="23">
        <f>(1-'Assumptions'!$C$44)*'Assumptions'!$C$59+'Assumptions'!$C$44*'Assumptions'!$C$43*(1-'Assumptions'!$C$35)</f>
        <v/>
      </c>
      <c r="D60" s="21" t="inlineStr"/>
    </row>
    <row r="61">
      <c r="B61" s="19" t="inlineStr">
        <is>
          <t>D&amp;A % of revenue (latest actual)</t>
        </is>
      </c>
      <c r="C61" s="10">
        <f>'Assumptions'!$C$28/'Assumptions'!$C$25</f>
        <v/>
      </c>
      <c r="D61" s="21" t="inlineStr"/>
    </row>
    <row r="62">
      <c r="B62" s="19" t="inlineStr">
        <is>
          <t>Growth capex per Rs of incremental revenue (k)</t>
        </is>
      </c>
      <c r="C62" s="24">
        <f>MAX(0,('Assumptions'!$C$34-'Assumptions'!$C$28)/('Assumptions'!$C$25-'Assumptions'!$C$26))</f>
        <v/>
      </c>
      <c r="D62" s="21" t="inlineStr"/>
      <c r="E62" s="17" t="inlineStr">
        <is>
          <t>Implied from latest actual year</t>
        </is>
      </c>
    </row>
    <row r="63">
      <c r="B63" s="19" t="inlineStr">
        <is>
          <t>Objects floor price</t>
        </is>
      </c>
      <c r="C63" s="13">
        <f>IF('Assumptions'!$C$13&gt;0,'Assumptions'!$C$18/(1-'Assumptions'!$C$19-'Assumptions'!$C$20)/'Assumptions'!$C$13,"n.a.")</f>
        <v/>
      </c>
      <c r="D63" s="21" t="inlineStr">
        <is>
          <t>Rs</t>
        </is>
      </c>
      <c r="E63" s="17" t="inlineStr">
        <is>
          <t>Funding need / fixed fresh shares (forensic check 5)</t>
        </is>
      </c>
    </row>
    <row r="65">
      <c r="B65" s="3" t="inlineStr">
        <is>
          <t>Scenario drivers</t>
        </is>
      </c>
    </row>
    <row r="66">
      <c r="B66" s="7" t="inlineStr">
        <is>
          <t>Driver</t>
        </is>
      </c>
      <c r="C66" s="7" t="inlineStr">
        <is>
          <t>Selected</t>
        </is>
      </c>
      <c r="D66" s="7" t="inlineStr"/>
      <c r="E66" s="7" t="inlineStr">
        <is>
          <t>Bear</t>
        </is>
      </c>
      <c r="F66" s="7" t="inlineStr">
        <is>
          <t>Neutral</t>
        </is>
      </c>
      <c r="G66" s="7" t="inlineStr">
        <is>
          <t>Bull</t>
        </is>
      </c>
      <c r="H66" s="7" t="inlineStr">
        <is>
          <t>Rationale + page cite</t>
        </is>
      </c>
    </row>
    <row r="67">
      <c r="B67" t="inlineStr">
        <is>
          <t>Revenue growth Y1</t>
        </is>
      </c>
      <c r="C67" s="23">
        <f>INDEX(E67:G67,Assumptions!$C$5)</f>
        <v/>
      </c>
      <c r="E67" s="16" t="n">
        <v>0.08</v>
      </c>
      <c r="F67" s="16" t="n">
        <v>0.2</v>
      </c>
      <c r="G67" s="16" t="n">
        <v>0.28</v>
      </c>
      <c r="H67" s="20" t="inlineStr">
        <is>
          <t>Revenue Rs 49.53 cr (FY24) -&gt; Rs 81.58 cr (FY25 total income) -&gt; Rs 115.14 cr (FY26), +41% in FY26 as the business shifted from trading to manufacturing. Installed capacity rose from 6.85 to 8.85 million kg in FY26 at 71.64% utilisation, so Y1-Y2 growth can come from spare capacity and the IPO-funded machinery (Rs 6.51 cr). Neutral 20% then 16% / 13% / 11% / 9%; Bear 5-8%; Bull 28% fading to 11%.</t>
        </is>
      </c>
    </row>
    <row r="68">
      <c r="B68" t="inlineStr">
        <is>
          <t>Revenue growth Y2</t>
        </is>
      </c>
      <c r="C68" s="23">
        <f>INDEX(E68:G68,Assumptions!$C$5)</f>
        <v/>
      </c>
      <c r="E68" s="16" t="n">
        <v>0.07000000000000001</v>
      </c>
      <c r="F68" s="16" t="n">
        <v>0.16</v>
      </c>
      <c r="G68" s="16" t="n">
        <v>0.22</v>
      </c>
      <c r="H68" s="20" t="inlineStr">
        <is>
          <t>[rationale + page]</t>
        </is>
      </c>
    </row>
    <row r="69">
      <c r="B69" t="inlineStr">
        <is>
          <t>Revenue growth Y3</t>
        </is>
      </c>
      <c r="C69" s="23">
        <f>INDEX(E69:G69,Assumptions!$C$5)</f>
        <v/>
      </c>
      <c r="E69" s="16" t="n">
        <v>0.06</v>
      </c>
      <c r="F69" s="16" t="n">
        <v>0.13</v>
      </c>
      <c r="G69" s="16" t="n">
        <v>0.17</v>
      </c>
      <c r="H69" s="20" t="inlineStr">
        <is>
          <t>[rationale + page]</t>
        </is>
      </c>
    </row>
    <row r="70">
      <c r="B70" t="inlineStr">
        <is>
          <t>Revenue growth Y4</t>
        </is>
      </c>
      <c r="C70" s="23">
        <f>INDEX(E70:G70,Assumptions!$C$5)</f>
        <v/>
      </c>
      <c r="E70" s="16" t="n">
        <v>0.05</v>
      </c>
      <c r="F70" s="16" t="n">
        <v>0.11</v>
      </c>
      <c r="G70" s="16" t="n">
        <v>0.14</v>
      </c>
      <c r="H70" s="20" t="inlineStr">
        <is>
          <t>[rationale + page]</t>
        </is>
      </c>
    </row>
    <row r="71">
      <c r="B71" t="inlineStr">
        <is>
          <t>Revenue growth Y5</t>
        </is>
      </c>
      <c r="C71" s="23">
        <f>INDEX(E71:G71,Assumptions!$C$5)</f>
        <v/>
      </c>
      <c r="E71" s="16" t="n">
        <v>0.05</v>
      </c>
      <c r="F71" s="16" t="n">
        <v>0.09</v>
      </c>
      <c r="G71" s="16" t="n">
        <v>0.11</v>
      </c>
      <c r="H71" s="20" t="inlineStr">
        <is>
          <t>[rationale + page]</t>
        </is>
      </c>
    </row>
    <row r="72">
      <c r="B72" t="inlineStr">
        <is>
          <t>EBITDA margin Y1-Y5</t>
        </is>
      </c>
      <c r="C72" s="23">
        <f>INDEX(E72:G72,Assumptions!$C$5)</f>
        <v/>
      </c>
      <c r="E72" s="16" t="n">
        <v>0.1</v>
      </c>
      <c r="F72" s="16" t="n">
        <v>0.13</v>
      </c>
      <c r="G72" s="16" t="n">
        <v>0.155</v>
      </c>
      <c r="H72" s="20" t="inlineStr">
        <is>
          <t>EBITDA Rs 1.48 / 8.30 / 19.18 cr FY24-26; FY26 margin 16.7% on revenue, the first year after the shift to manufacturing (lamination 59% of revenue). Flexible-packaging peers usually earn 10-14%. Neutral 13%; Bear 10%; Bull 15.5%.</t>
        </is>
      </c>
    </row>
    <row r="73">
      <c r="B73" t="inlineStr">
        <is>
          <t>Net working capital % revenue</t>
        </is>
      </c>
      <c r="C73" s="23">
        <f>INDEX(E73:G73,Assumptions!$C$5)</f>
        <v/>
      </c>
      <c r="E73" s="16" t="n">
        <v>0.4</v>
      </c>
      <c r="F73" s="16" t="n">
        <v>0.33</v>
      </c>
      <c r="G73" s="16" t="n">
        <v>0.28</v>
      </c>
      <c r="H73" s="20" t="inlineStr">
        <is>
          <t>Issuer-defined net working capital (current assets less current liabilities) Rs 46.27 cr at Mar-26 (40% of revenue) against Rs 19.27 cr at Mar-25 (24% of FY25 total income). The jump came mainly from trade payables collapsing from Rs 21.40 cr to Rs 1.68 cr (supplier credit replaced by bank debt) and inventory rising Rs 8.88 cr; receivables Rs 28.38 cr. Neutral 33% (between FY25 and FY26, as supplier credit partly returns); Bear 40% (FY26 level persists); Bull 28%.</t>
        </is>
      </c>
    </row>
    <row r="74">
      <c r="B74" t="inlineStr">
        <is>
          <t>Terminal ROIC</t>
        </is>
      </c>
      <c r="C74" s="23">
        <f>INDEX(E74:G74,Assumptions!$C$5)</f>
        <v/>
      </c>
      <c r="E74" s="16" t="n">
        <v>0.15</v>
      </c>
      <c r="F74" s="16" t="n">
        <v>0.18</v>
      </c>
      <c r="G74" s="16" t="n">
        <v>0.22</v>
      </c>
      <c r="H74" s="20" t="inlineStr">
        <is>
          <t>RoNW 25.95% on closing net worth in FY26 (ROE 38% on average equity per one tracker); terminal ROIC 18% (Neutral) after the issue adds equity.</t>
        </is>
      </c>
    </row>
  </sheetData>
  <dataValidations count="1">
    <dataValidation sqref="C9" showDropDown="0" showInputMessage="0" showErrorMessage="0" allowBlank="1" type="list">
      <formula1>"Consolidated,Standalone"</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H45"/>
  <sheetViews>
    <sheetView showGridLines="0" workbookViewId="0">
      <selection activeCell="A1" sqref="A1"/>
    </sheetView>
  </sheetViews>
  <sheetFormatPr baseColWidth="8" defaultRowHeight="15"/>
  <cols>
    <col width="2" customWidth="1" min="1" max="1"/>
    <col width="40" customWidth="1" min="2" max="2"/>
    <col width="22" customWidth="1" min="3" max="3"/>
    <col width="13" customWidth="1" min="4" max="4"/>
    <col width="13" customWidth="1" min="5" max="5"/>
    <col width="13" customWidth="1" min="6" max="6"/>
    <col width="13" customWidth="1" min="7" max="7"/>
    <col width="13" customWidth="1" min="8" max="8"/>
  </cols>
  <sheetData>
    <row r="1" ht="24" customHeight="1">
      <c r="A1" s="1" t="inlineStr">
        <is>
          <t>Discounted cash flow (FCFF) - selected scenario</t>
        </is>
      </c>
    </row>
    <row r="2" ht="20" customHeight="1">
      <c r="A2" s="2" t="inlineStr">
        <is>
          <t>Parshwanath Capital Ventures Fund | SEBI Registered CAT III AIF | IN/AIF3/25-26/2108 | Fund Manager: CA Deep Dalal | Sponsor: Jignesh Shah</t>
        </is>
      </c>
    </row>
    <row r="3">
      <c r="B3" s="6">
        <f>"Scenario: "&amp;Assumptions!$D$5</f>
        <v/>
      </c>
    </row>
    <row r="5">
      <c r="B5" s="7" t="inlineStr">
        <is>
          <t>Rs cr</t>
        </is>
      </c>
      <c r="C5" s="7" t="inlineStr">
        <is>
          <t>Y0 (actual)</t>
        </is>
      </c>
      <c r="D5" s="7" t="inlineStr">
        <is>
          <t>Y1</t>
        </is>
      </c>
      <c r="E5" s="7" t="inlineStr">
        <is>
          <t>Y2</t>
        </is>
      </c>
      <c r="F5" s="7" t="inlineStr">
        <is>
          <t>Y3</t>
        </is>
      </c>
      <c r="G5" s="7" t="inlineStr">
        <is>
          <t>Y4</t>
        </is>
      </c>
      <c r="H5" s="7" t="inlineStr">
        <is>
          <t>Y5</t>
        </is>
      </c>
    </row>
    <row r="6">
      <c r="B6" t="inlineStr">
        <is>
          <t>Revenue growth</t>
        </is>
      </c>
      <c r="C6" s="25">
        <f>'Assumptions'!$C$25/'Assumptions'!$C$26-1</f>
        <v/>
      </c>
      <c r="D6" s="25">
        <f>Assumptions!$C$67</f>
        <v/>
      </c>
      <c r="E6" s="25">
        <f>Assumptions!$C$68</f>
        <v/>
      </c>
      <c r="F6" s="25">
        <f>Assumptions!$C$69</f>
        <v/>
      </c>
      <c r="G6" s="25">
        <f>Assumptions!$C$70</f>
        <v/>
      </c>
      <c r="H6" s="25">
        <f>Assumptions!$C$71</f>
        <v/>
      </c>
    </row>
    <row r="7">
      <c r="B7" t="inlineStr">
        <is>
          <t>Revenue</t>
        </is>
      </c>
      <c r="C7" s="9">
        <f>'Assumptions'!$C$25</f>
        <v/>
      </c>
      <c r="D7" s="13">
        <f>C7*(1+D6)</f>
        <v/>
      </c>
      <c r="E7" s="13">
        <f>D7*(1+E6)</f>
        <v/>
      </c>
      <c r="F7" s="13">
        <f>E7*(1+F6)</f>
        <v/>
      </c>
      <c r="G7" s="13">
        <f>F7*(1+G6)</f>
        <v/>
      </c>
      <c r="H7" s="13">
        <f>G7*(1+H6)</f>
        <v/>
      </c>
    </row>
    <row r="8">
      <c r="B8" t="inlineStr">
        <is>
          <t>EBITDA margin</t>
        </is>
      </c>
      <c r="C8" s="25">
        <f>'Assumptions'!$C$27/'Assumptions'!$C$25</f>
        <v/>
      </c>
      <c r="D8" s="25">
        <f>Assumptions!$C$72</f>
        <v/>
      </c>
      <c r="E8" s="25">
        <f>Assumptions!$C$72</f>
        <v/>
      </c>
      <c r="F8" s="25">
        <f>Assumptions!$C$72</f>
        <v/>
      </c>
      <c r="G8" s="25">
        <f>Assumptions!$C$72</f>
        <v/>
      </c>
      <c r="H8" s="25">
        <f>Assumptions!$C$72</f>
        <v/>
      </c>
    </row>
    <row r="9">
      <c r="B9" t="inlineStr">
        <is>
          <t>EBITDA</t>
        </is>
      </c>
      <c r="C9" s="9">
        <f>'Assumptions'!$C$27</f>
        <v/>
      </c>
      <c r="D9" s="13">
        <f>D7*D8</f>
        <v/>
      </c>
      <c r="E9" s="13">
        <f>E7*E8</f>
        <v/>
      </c>
      <c r="F9" s="13">
        <f>F7*F8</f>
        <v/>
      </c>
      <c r="G9" s="13">
        <f>G7*G8</f>
        <v/>
      </c>
      <c r="H9" s="13">
        <f>H7*H8</f>
        <v/>
      </c>
    </row>
    <row r="10">
      <c r="B10" t="inlineStr">
        <is>
          <t>D&amp;A</t>
        </is>
      </c>
      <c r="C10" s="9">
        <f>'Assumptions'!$C$28</f>
        <v/>
      </c>
      <c r="D10" s="13">
        <f>D7*'Assumptions'!$C$61</f>
        <v/>
      </c>
      <c r="E10" s="13">
        <f>E7*'Assumptions'!$C$61</f>
        <v/>
      </c>
      <c r="F10" s="13">
        <f>F7*'Assumptions'!$C$61</f>
        <v/>
      </c>
      <c r="G10" s="13">
        <f>G7*'Assumptions'!$C$61</f>
        <v/>
      </c>
      <c r="H10" s="13">
        <f>H7*'Assumptions'!$C$61</f>
        <v/>
      </c>
    </row>
    <row r="11">
      <c r="B11" t="inlineStr">
        <is>
          <t>EBIT</t>
        </is>
      </c>
      <c r="C11" s="13">
        <f>C9-C10</f>
        <v/>
      </c>
      <c r="D11" s="13">
        <f>D9-D10</f>
        <v/>
      </c>
      <c r="E11" s="13">
        <f>E9-E10</f>
        <v/>
      </c>
      <c r="F11" s="13">
        <f>F9-F10</f>
        <v/>
      </c>
      <c r="G11" s="13">
        <f>G9-G10</f>
        <v/>
      </c>
      <c r="H11" s="13">
        <f>H9-H10</f>
        <v/>
      </c>
    </row>
    <row r="12">
      <c r="B12" t="inlineStr">
        <is>
          <t>Tax on EBIT</t>
        </is>
      </c>
      <c r="C12" s="13">
        <f>C11*'Assumptions'!$C$35</f>
        <v/>
      </c>
      <c r="D12" s="13">
        <f>D11*'Assumptions'!$C$35</f>
        <v/>
      </c>
      <c r="E12" s="13">
        <f>E11*'Assumptions'!$C$35</f>
        <v/>
      </c>
      <c r="F12" s="13">
        <f>F11*'Assumptions'!$C$35</f>
        <v/>
      </c>
      <c r="G12" s="13">
        <f>G11*'Assumptions'!$C$35</f>
        <v/>
      </c>
      <c r="H12" s="13">
        <f>H11*'Assumptions'!$C$35</f>
        <v/>
      </c>
    </row>
    <row r="13">
      <c r="B13" t="inlineStr">
        <is>
          <t>NOPAT</t>
        </is>
      </c>
      <c r="C13" s="13">
        <f>C11-C12</f>
        <v/>
      </c>
      <c r="D13" s="13">
        <f>D11-D12</f>
        <v/>
      </c>
      <c r="E13" s="13">
        <f>E11-E12</f>
        <v/>
      </c>
      <c r="F13" s="13">
        <f>F11-F12</f>
        <v/>
      </c>
      <c r="G13" s="13">
        <f>G11-G12</f>
        <v/>
      </c>
      <c r="H13" s="13">
        <f>H11-H12</f>
        <v/>
      </c>
    </row>
    <row r="14">
      <c r="B14" t="inlineStr">
        <is>
          <t>Organic capex (D&amp;A + k x dRev)</t>
        </is>
      </c>
      <c r="C14" s="9">
        <f>'Assumptions'!$C$34</f>
        <v/>
      </c>
      <c r="D14" s="13">
        <f>D10+'Assumptions'!$C$62*(D7-C7)</f>
        <v/>
      </c>
      <c r="E14" s="13">
        <f>E10+'Assumptions'!$C$62*(E7-D7)</f>
        <v/>
      </c>
      <c r="F14" s="13">
        <f>F10+'Assumptions'!$C$62*(F7-E7)</f>
        <v/>
      </c>
      <c r="G14" s="13">
        <f>G10+'Assumptions'!$C$62*(G7-F7)</f>
        <v/>
      </c>
      <c r="H14" s="13">
        <f>H10+'Assumptions'!$C$62*(H7-G7)</f>
        <v/>
      </c>
    </row>
    <row r="15">
      <c r="B15" t="inlineStr">
        <is>
          <t>IPO-funded capex</t>
        </is>
      </c>
      <c r="C15" s="13" t="n">
        <v>0</v>
      </c>
      <c r="D15" s="13">
        <f>'Assumptions'!$C$57*'Assumptions'!$C$22</f>
        <v/>
      </c>
      <c r="E15" s="13">
        <f>'Assumptions'!$C$57*(1-'Assumptions'!$C$22)</f>
        <v/>
      </c>
      <c r="F15" s="13">
        <f>'Assumptions'!$C$57*0</f>
        <v/>
      </c>
      <c r="G15" s="13">
        <f>'Assumptions'!$C$57*0</f>
        <v/>
      </c>
      <c r="H15" s="13">
        <f>'Assumptions'!$C$57*0</f>
        <v/>
      </c>
    </row>
    <row r="16">
      <c r="B16" t="inlineStr">
        <is>
          <t>Net working capital</t>
        </is>
      </c>
      <c r="C16" s="9">
        <f>'Assumptions'!$C$32</f>
        <v/>
      </c>
      <c r="D16" s="13">
        <f>D7*Assumptions!$C$73</f>
        <v/>
      </c>
      <c r="E16" s="13">
        <f>E7*Assumptions!$C$73</f>
        <v/>
      </c>
      <c r="F16" s="13">
        <f>F7*Assumptions!$C$73</f>
        <v/>
      </c>
      <c r="G16" s="13">
        <f>G7*Assumptions!$C$73</f>
        <v/>
      </c>
      <c r="H16" s="13">
        <f>H7*Assumptions!$C$73</f>
        <v/>
      </c>
    </row>
    <row r="17">
      <c r="B17" t="inlineStr">
        <is>
          <t>Change in NWC</t>
        </is>
      </c>
      <c r="C17" s="9">
        <f>'Assumptions'!$C$32-'Assumptions'!$C$33</f>
        <v/>
      </c>
      <c r="D17" s="13">
        <f>D16-C16</f>
        <v/>
      </c>
      <c r="E17" s="13">
        <f>E16-D16</f>
        <v/>
      </c>
      <c r="F17" s="13">
        <f>F16-E16</f>
        <v/>
      </c>
      <c r="G17" s="13">
        <f>G16-F16</f>
        <v/>
      </c>
      <c r="H17" s="13">
        <f>H16-G16</f>
        <v/>
      </c>
    </row>
    <row r="18">
      <c r="B18" t="inlineStr">
        <is>
          <t>Free cash flow to firm</t>
        </is>
      </c>
      <c r="C18" s="13">
        <f>C13+C10-C14-C15-C17</f>
        <v/>
      </c>
      <c r="D18" s="13">
        <f>D13+D10-D14-D15-D17</f>
        <v/>
      </c>
      <c r="E18" s="13">
        <f>E13+E10-E14-E15-E17</f>
        <v/>
      </c>
      <c r="F18" s="13">
        <f>F13+F10-F14-F15-F17</f>
        <v/>
      </c>
      <c r="G18" s="13">
        <f>G13+G10-G14-G15-G17</f>
        <v/>
      </c>
      <c r="H18" s="13">
        <f>H13+H10-H14-H15-H17</f>
        <v/>
      </c>
    </row>
    <row r="19">
      <c r="B19" t="inlineStr">
        <is>
          <t>Discount factor</t>
        </is>
      </c>
      <c r="D19" s="26">
        <f>1/(1+'Assumptions'!$C$60)^1</f>
        <v/>
      </c>
      <c r="E19" s="26">
        <f>1/(1+'Assumptions'!$C$60)^2</f>
        <v/>
      </c>
      <c r="F19" s="26">
        <f>1/(1+'Assumptions'!$C$60)^3</f>
        <v/>
      </c>
      <c r="G19" s="26">
        <f>1/(1+'Assumptions'!$C$60)^4</f>
        <v/>
      </c>
      <c r="H19" s="26">
        <f>1/(1+'Assumptions'!$C$60)^5</f>
        <v/>
      </c>
    </row>
    <row r="20">
      <c r="B20" t="inlineStr">
        <is>
          <t>PV of FCFF</t>
        </is>
      </c>
      <c r="D20" s="13">
        <f>D18*D19</f>
        <v/>
      </c>
      <c r="E20" s="13">
        <f>E18*E19</f>
        <v/>
      </c>
      <c r="F20" s="13">
        <f>F18*F19</f>
        <v/>
      </c>
      <c r="G20" s="13">
        <f>G18*G19</f>
        <v/>
      </c>
      <c r="H20" s="13">
        <f>H18*H19</f>
        <v/>
      </c>
    </row>
    <row r="22">
      <c r="B22" t="inlineStr">
        <is>
          <t>Terminal growth (g)</t>
        </is>
      </c>
      <c r="C22" s="10">
        <f>'Assumptions'!$C$45</f>
        <v/>
      </c>
    </row>
    <row r="23">
      <c r="B23" t="inlineStr">
        <is>
          <t>Terminal ROIC</t>
        </is>
      </c>
      <c r="C23" s="10">
        <f>Assumptions!$C$74</f>
        <v/>
      </c>
    </row>
    <row r="24">
      <c r="B24" t="inlineStr">
        <is>
          <t>Terminal reinvestment rate (g / ROIC)</t>
        </is>
      </c>
      <c r="C24" s="10">
        <f>C22/C23</f>
        <v/>
      </c>
    </row>
    <row r="25">
      <c r="B25" t="inlineStr">
        <is>
          <t>NOPAT Y6</t>
        </is>
      </c>
      <c r="C25" s="13">
        <f>H13*(1+C22)</f>
        <v/>
      </c>
    </row>
    <row r="26">
      <c r="B26" t="inlineStr">
        <is>
          <t>FCFF Y6</t>
        </is>
      </c>
      <c r="C26" s="13">
        <f>C25*(1-C24)</f>
        <v/>
      </c>
    </row>
    <row r="27">
      <c r="B27" t="inlineStr">
        <is>
          <t>Terminal value at Y5</t>
        </is>
      </c>
      <c r="C27" s="13">
        <f>C26/('Assumptions'!$C$60-C22)</f>
        <v/>
      </c>
    </row>
    <row r="28">
      <c r="B28" t="inlineStr">
        <is>
          <t>PV of terminal value</t>
        </is>
      </c>
      <c r="C28" s="13">
        <f>C27*H19</f>
        <v/>
      </c>
    </row>
    <row r="30">
      <c r="B30" t="inlineStr">
        <is>
          <t>Sum of PV, explicit period</t>
        </is>
      </c>
      <c r="C30" s="13">
        <f>SUM(D20:H20)</f>
        <v/>
      </c>
    </row>
    <row r="31">
      <c r="B31" t="inlineStr">
        <is>
          <t>Enterprise value</t>
        </is>
      </c>
      <c r="C31" s="13">
        <f>C30+C28</f>
        <v/>
      </c>
    </row>
    <row r="32">
      <c r="B32" t="inlineStr">
        <is>
          <t>Terminal value share of EV</t>
        </is>
      </c>
      <c r="C32" s="10">
        <f>C28/C31</f>
        <v/>
      </c>
    </row>
    <row r="33">
      <c r="B33" t="inlineStr">
        <is>
          <t>Less: net debt</t>
        </is>
      </c>
      <c r="C33" s="13">
        <f>-'Assumptions'!$C$31</f>
        <v/>
      </c>
    </row>
    <row r="34">
      <c r="B34" t="inlineStr">
        <is>
          <t>Add: issue proceeds credited</t>
        </is>
      </c>
      <c r="C34" s="13">
        <f>'Assumptions'!$C$58</f>
        <v/>
      </c>
    </row>
    <row r="35">
      <c r="B35" t="inlineStr">
        <is>
          <t>Equity value</t>
        </is>
      </c>
      <c r="C35" s="13">
        <f>C31+C33+C34</f>
        <v/>
      </c>
    </row>
    <row r="36">
      <c r="B36" t="inlineStr">
        <is>
          <t>Post-issue diluted shares (crore)</t>
        </is>
      </c>
      <c r="C36" s="13">
        <f>'Assumptions'!$C$56</f>
        <v/>
      </c>
    </row>
    <row r="37">
      <c r="B37" t="inlineStr">
        <is>
          <t>DCF value per share (Rs)</t>
        </is>
      </c>
      <c r="C37" s="11">
        <f>C35/C36</f>
        <v/>
      </c>
    </row>
    <row r="39">
      <c r="B39" s="3" t="inlineStr">
        <is>
          <t>Degeneracy guards</t>
        </is>
      </c>
    </row>
    <row r="40">
      <c r="B40" t="inlineStr">
        <is>
          <t>Terminal value share</t>
        </is>
      </c>
      <c r="C40" s="12">
        <f>IF(C32&gt;1,"DEGENERATE: TV above 100% of EV - fix assumptions, do not report",IF(C32&gt;0.75,"AMBER: TV above 75% of EV - DCF is mostly a terminal guess","OK"))</f>
        <v/>
      </c>
    </row>
    <row r="41">
      <c r="B41" t="inlineStr">
        <is>
          <t>WACC minus g</t>
        </is>
      </c>
      <c r="C41" s="12">
        <f>IF('Assumptions'!$C$60-C22&lt;0.02,"RED: WACC - g below 2% - terminal swamps value","OK")</f>
        <v/>
      </c>
    </row>
    <row r="42">
      <c r="B42" t="inlineStr">
        <is>
          <t>Terminal ROIC vs WACC</t>
        </is>
      </c>
      <c r="C42" s="12">
        <f>IF(C23&lt;'Assumptions'!$C$60,"RED: terminal ROIC below WACC - growth destroys value","OK")</f>
        <v/>
      </c>
    </row>
    <row r="43">
      <c r="B43" t="inlineStr">
        <is>
          <t>Explicit-period FCF</t>
        </is>
      </c>
      <c r="C43" s="12">
        <f>IF(SUM(D18:H18)&lt;0,"AMBER: cumulative explicit FCF negative","OK")</f>
        <v/>
      </c>
    </row>
    <row r="45">
      <c r="B45" s="17" t="inlineStr">
        <is>
          <t>IPO capex adds assets; reflect any revenue it enables in the Neutral/Bull growth rates, with a cite.</t>
        </is>
      </c>
    </row>
  </sheetData>
  <conditionalFormatting sqref="C40:C43">
    <cfRule type="expression" priority="1" dxfId="0">
      <formula>LEFT(C40,3)="RED"</formula>
    </cfRule>
    <cfRule type="expression" priority="2" dxfId="0">
      <formula>LEFT(C40,4)="FAIL"</formula>
    </cfRule>
    <cfRule type="expression" priority="3" dxfId="0">
      <formula>LEFT(C40,12)="INCONSISTENT"</formula>
    </cfRule>
    <cfRule type="expression" priority="4" dxfId="0">
      <formula>LEFT(C40,10)="DEGENERATE"</formula>
    </cfRule>
    <cfRule type="expression" priority="5" dxfId="1">
      <formula>LEFT(C40,5)="AMBER"</formula>
    </cfRule>
    <cfRule type="expression" priority="6" dxfId="1">
      <formula>LEFT(C40,5)="WATCH"</formula>
    </cfRule>
    <cfRule type="expression" priority="7" dxfId="2">
      <formula>LEFT(C40,2)="OK"</formula>
    </cfRule>
    <cfRule type="expression" priority="8" dxfId="2">
      <formula>LEFT(C40,4)="PASS"</formula>
    </cfRule>
  </conditionalFormatting>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T26"/>
  <sheetViews>
    <sheetView showGridLines="0" workbookViewId="0">
      <selection activeCell="A1" sqref="A1"/>
    </sheetView>
  </sheetViews>
  <sheetFormatPr baseColWidth="8" defaultRowHeight="15"/>
  <cols>
    <col width="2" customWidth="1" min="1" max="1"/>
    <col width="30" customWidth="1" min="2" max="2"/>
    <col width="9" customWidth="1" min="3" max="3"/>
    <col width="26" customWidth="1" min="4" max="4"/>
    <col width="13"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s>
  <sheetData>
    <row r="1" ht="24" customHeight="1">
      <c r="A1" s="1" t="inlineStr">
        <is>
          <t>Peer set - ILLUSTRATIVE peers, replace with real listed comparables</t>
        </is>
      </c>
    </row>
    <row r="2" ht="20" customHeight="1">
      <c r="A2" s="2" t="inlineStr">
        <is>
          <t>Parshwanath Capital Ventures Fund | SEBI Registered CAT III AIF | IN/AIF3/25-26/2108 | Fund Manager: CA Deep Dalal | Sponsor: Jignesh Shah</t>
        </is>
      </c>
    </row>
    <row r="4">
      <c r="B4" s="7" t="inlineStr">
        <is>
          <t>Company</t>
        </is>
      </c>
      <c r="C4" s="7" t="inlineStr">
        <is>
          <t>Include (Y/N)</t>
        </is>
      </c>
      <c r="D4" s="7" t="inlineStr">
        <is>
          <t>Business-model match</t>
        </is>
      </c>
      <c r="E4" s="7" t="inlineStr">
        <is>
          <t>Basis</t>
        </is>
      </c>
      <c r="F4" s="7" t="inlineStr">
        <is>
          <t>CMP (Rs)</t>
        </is>
      </c>
      <c r="G4" s="7" t="inlineStr">
        <is>
          <t>Shares (cr)</t>
        </is>
      </c>
      <c r="H4" s="7" t="inlineStr">
        <is>
          <t>Net debt</t>
        </is>
      </c>
      <c r="I4" s="7" t="inlineStr">
        <is>
          <t>Revenue</t>
        </is>
      </c>
      <c r="J4" s="7" t="inlineStr">
        <is>
          <t>EBITDA</t>
        </is>
      </c>
      <c r="K4" s="7" t="inlineStr">
        <is>
          <t>PAT</t>
        </is>
      </c>
      <c r="L4" s="7" t="inlineStr">
        <is>
          <t>Net worth</t>
        </is>
      </c>
      <c r="M4" s="7" t="inlineStr">
        <is>
          <t>Rev growth</t>
        </is>
      </c>
      <c r="N4" s="7" t="inlineStr">
        <is>
          <t>Mcap</t>
        </is>
      </c>
      <c r="O4" s="7" t="inlineStr">
        <is>
          <t>EV</t>
        </is>
      </c>
      <c r="P4" s="7" t="inlineStr">
        <is>
          <t>P/E</t>
        </is>
      </c>
      <c r="Q4" s="7" t="inlineStr">
        <is>
          <t>EV/EBITDA</t>
        </is>
      </c>
      <c r="R4" s="7" t="inlineStr">
        <is>
          <t>P/B</t>
        </is>
      </c>
      <c r="S4" s="7" t="inlineStr">
        <is>
          <t>EBITDA margin</t>
        </is>
      </c>
      <c r="T4" s="7" t="inlineStr">
        <is>
          <t>ROE</t>
        </is>
      </c>
    </row>
    <row r="5">
      <c r="B5" s="20" t="inlineStr">
        <is>
          <t>B&amp;A Packaging India Ltd (per share)</t>
        </is>
      </c>
      <c r="C5" s="20" t="inlineStr">
        <is>
          <t>Y</t>
        </is>
      </c>
      <c r="D5" s="20" t="inlineStr">
        <is>
          <t>Flexible packaging - issuer's peer (DRHP), not strictly comparable</t>
        </is>
      </c>
      <c r="E5" s="20" t="inlineStr">
        <is>
          <t>Standalone</t>
        </is>
      </c>
      <c r="F5" s="15" t="n">
        <v>174.44</v>
      </c>
      <c r="G5" s="15" t="n">
        <v>1</v>
      </c>
      <c r="H5" s="15" t="n"/>
      <c r="I5" s="15" t="n"/>
      <c r="J5" s="15" t="n"/>
      <c r="K5" s="15" t="n">
        <v>14.24</v>
      </c>
      <c r="L5" s="15" t="n">
        <v>180.16</v>
      </c>
      <c r="M5" s="16" t="n"/>
      <c r="N5" s="13">
        <f>IF(F5="","",F5*G5)</f>
        <v/>
      </c>
      <c r="O5" s="13">
        <f>IF(N5="","",N5+H5)</f>
        <v/>
      </c>
      <c r="P5" s="27">
        <f>IF(AND(C5="Y",N(K5)&gt;0),N5/K5,"")</f>
        <v/>
      </c>
      <c r="Q5" s="27">
        <f>IF(AND(C5="Y",N(J5)&gt;0),O5/J5,"")</f>
        <v/>
      </c>
      <c r="R5" s="27">
        <f>IF(AND(C5="Y",N(L5)&gt;0),N5/L5,"")</f>
        <v/>
      </c>
      <c r="S5" s="10">
        <f>IF(N(I5)&gt;0,J5/I5,"")</f>
        <v/>
      </c>
      <c r="T5" s="10">
        <f>IF(N(L5)&gt;0,K5/L5,"")</f>
        <v/>
      </c>
    </row>
    <row r="6">
      <c r="B6" s="20" t="inlineStr">
        <is>
          <t>Barflex Polyfilms Ltd (per share)</t>
        </is>
      </c>
      <c r="C6" s="20" t="inlineStr">
        <is>
          <t>Y</t>
        </is>
      </c>
      <c r="D6" s="20" t="inlineStr">
        <is>
          <t>Polyfilms - issuer's peer (DRHP), not strictly comparable</t>
        </is>
      </c>
      <c r="E6" s="20" t="inlineStr">
        <is>
          <t>Standalone</t>
        </is>
      </c>
      <c r="F6" s="15" t="n">
        <v>57.24</v>
      </c>
      <c r="G6" s="15" t="n">
        <v>1</v>
      </c>
      <c r="H6" s="15" t="n"/>
      <c r="I6" s="15" t="n"/>
      <c r="J6" s="15" t="n"/>
      <c r="K6" s="15" t="n">
        <v>1.93</v>
      </c>
      <c r="L6" s="15" t="n">
        <v>38.82</v>
      </c>
      <c r="M6" s="16" t="n"/>
      <c r="N6" s="13">
        <f>IF(F6="","",F6*G6)</f>
        <v/>
      </c>
      <c r="O6" s="13">
        <f>IF(N6="","",N6+H6)</f>
        <v/>
      </c>
      <c r="P6" s="27">
        <f>IF(AND(C6="Y",N(K6)&gt;0),N6/K6,"")</f>
        <v/>
      </c>
      <c r="Q6" s="27">
        <f>IF(AND(C6="Y",N(J6)&gt;0),O6/J6,"")</f>
        <v/>
      </c>
      <c r="R6" s="27">
        <f>IF(AND(C6="Y",N(L6)&gt;0),N6/L6,"")</f>
        <v/>
      </c>
      <c r="S6" s="10">
        <f>IF(N(I6)&gt;0,J6/I6,"")</f>
        <v/>
      </c>
      <c r="T6" s="10">
        <f>IF(N(L6)&gt;0,K6/L6,"")</f>
        <v/>
      </c>
    </row>
    <row r="7">
      <c r="B7" s="20" t="inlineStr"/>
      <c r="C7" s="20" t="inlineStr"/>
      <c r="D7" s="20" t="inlineStr"/>
      <c r="E7" s="20" t="inlineStr"/>
      <c r="F7" s="15" t="n"/>
      <c r="G7" s="15" t="n"/>
      <c r="H7" s="15" t="n"/>
      <c r="I7" s="15" t="n"/>
      <c r="J7" s="15" t="n"/>
      <c r="K7" s="15" t="n"/>
      <c r="L7" s="15" t="n"/>
      <c r="M7" s="16" t="n"/>
      <c r="N7" s="13">
        <f>IF(F7="","",F7*G7)</f>
        <v/>
      </c>
      <c r="O7" s="13">
        <f>IF(N7="","",N7+H7)</f>
        <v/>
      </c>
      <c r="P7" s="27">
        <f>IF(AND(C7="Y",N(K7)&gt;0),N7/K7,"")</f>
        <v/>
      </c>
      <c r="Q7" s="27">
        <f>IF(AND(C7="Y",N(J7)&gt;0),O7/J7,"")</f>
        <v/>
      </c>
      <c r="R7" s="27">
        <f>IF(AND(C7="Y",N(L7)&gt;0),N7/L7,"")</f>
        <v/>
      </c>
      <c r="S7" s="10">
        <f>IF(N(I7)&gt;0,J7/I7,"")</f>
        <v/>
      </c>
      <c r="T7" s="10">
        <f>IF(N(L7)&gt;0,K7/L7,"")</f>
        <v/>
      </c>
    </row>
    <row r="8">
      <c r="B8" s="20" t="inlineStr"/>
      <c r="C8" s="20" t="inlineStr"/>
      <c r="D8" s="20" t="inlineStr"/>
      <c r="E8" s="20" t="inlineStr"/>
      <c r="F8" s="15" t="n"/>
      <c r="G8" s="15" t="n"/>
      <c r="H8" s="15" t="n"/>
      <c r="I8" s="15" t="n"/>
      <c r="J8" s="15" t="n"/>
      <c r="K8" s="15" t="n"/>
      <c r="L8" s="15" t="n"/>
      <c r="M8" s="16" t="n"/>
      <c r="N8" s="13">
        <f>IF(F8="","",F8*G8)</f>
        <v/>
      </c>
      <c r="O8" s="13">
        <f>IF(N8="","",N8+H8)</f>
        <v/>
      </c>
      <c r="P8" s="27">
        <f>IF(AND(C8="Y",N(K8)&gt;0),N8/K8,"")</f>
        <v/>
      </c>
      <c r="Q8" s="27">
        <f>IF(AND(C8="Y",N(J8)&gt;0),O8/J8,"")</f>
        <v/>
      </c>
      <c r="R8" s="27">
        <f>IF(AND(C8="Y",N(L8)&gt;0),N8/L8,"")</f>
        <v/>
      </c>
      <c r="S8" s="10">
        <f>IF(N(I8)&gt;0,J8/I8,"")</f>
        <v/>
      </c>
      <c r="T8" s="10">
        <f>IF(N(L8)&gt;0,K8/L8,"")</f>
        <v/>
      </c>
    </row>
    <row r="9">
      <c r="B9" s="20" t="inlineStr"/>
      <c r="C9" s="20" t="inlineStr"/>
      <c r="D9" s="20" t="inlineStr"/>
      <c r="E9" s="20" t="inlineStr"/>
      <c r="F9" s="15" t="n"/>
      <c r="G9" s="15" t="n"/>
      <c r="H9" s="15" t="n"/>
      <c r="I9" s="15" t="n"/>
      <c r="J9" s="15" t="n"/>
      <c r="K9" s="15" t="n"/>
      <c r="L9" s="15" t="n"/>
      <c r="M9" s="16" t="n"/>
      <c r="N9" s="13">
        <f>IF(F9="","",F9*G9)</f>
        <v/>
      </c>
      <c r="O9" s="13">
        <f>IF(N9="","",N9+H9)</f>
        <v/>
      </c>
      <c r="P9" s="27">
        <f>IF(AND(C9="Y",N(K9)&gt;0),N9/K9,"")</f>
        <v/>
      </c>
      <c r="Q9" s="27">
        <f>IF(AND(C9="Y",N(J9)&gt;0),O9/J9,"")</f>
        <v/>
      </c>
      <c r="R9" s="27">
        <f>IF(AND(C9="Y",N(L9)&gt;0),N9/L9,"")</f>
        <v/>
      </c>
      <c r="S9" s="10">
        <f>IF(N(I9)&gt;0,J9/I9,"")</f>
        <v/>
      </c>
      <c r="T9" s="10">
        <f>IF(N(L9)&gt;0,K9/L9,"")</f>
        <v/>
      </c>
    </row>
    <row r="10">
      <c r="B10" s="20" t="inlineStr"/>
      <c r="C10" s="20" t="inlineStr"/>
      <c r="D10" s="20" t="inlineStr"/>
      <c r="E10" s="20" t="inlineStr"/>
      <c r="F10" s="15" t="n"/>
      <c r="G10" s="15" t="n"/>
      <c r="H10" s="15" t="n"/>
      <c r="I10" s="15" t="n"/>
      <c r="J10" s="15" t="n"/>
      <c r="K10" s="15" t="n"/>
      <c r="L10" s="15" t="n"/>
      <c r="M10" s="16" t="n"/>
      <c r="N10" s="13">
        <f>IF(F10="","",F10*G10)</f>
        <v/>
      </c>
      <c r="O10" s="13">
        <f>IF(N10="","",N10+H10)</f>
        <v/>
      </c>
      <c r="P10" s="27">
        <f>IF(AND(C10="Y",N(K10)&gt;0),N10/K10,"")</f>
        <v/>
      </c>
      <c r="Q10" s="27">
        <f>IF(AND(C10="Y",N(J10)&gt;0),O10/J10,"")</f>
        <v/>
      </c>
      <c r="R10" s="27">
        <f>IF(AND(C10="Y",N(L10)&gt;0),N10/L10,"")</f>
        <v/>
      </c>
      <c r="S10" s="10">
        <f>IF(N(I10)&gt;0,J10/I10,"")</f>
        <v/>
      </c>
      <c r="T10" s="10">
        <f>IF(N(L10)&gt;0,K10/L10,"")</f>
        <v/>
      </c>
    </row>
    <row r="11">
      <c r="B11" s="20" t="inlineStr"/>
      <c r="C11" s="20" t="inlineStr"/>
      <c r="D11" s="20" t="inlineStr"/>
      <c r="E11" s="20" t="inlineStr"/>
      <c r="F11" s="15" t="n"/>
      <c r="G11" s="15" t="n"/>
      <c r="H11" s="15" t="n"/>
      <c r="I11" s="15" t="n"/>
      <c r="J11" s="15" t="n"/>
      <c r="K11" s="15" t="n"/>
      <c r="L11" s="15" t="n"/>
      <c r="M11" s="16" t="n"/>
      <c r="N11" s="13">
        <f>IF(F11="","",F11*G11)</f>
        <v/>
      </c>
      <c r="O11" s="13">
        <f>IF(N11="","",N11+H11)</f>
        <v/>
      </c>
      <c r="P11" s="27">
        <f>IF(AND(C11="Y",N(K11)&gt;0),N11/K11,"")</f>
        <v/>
      </c>
      <c r="Q11" s="27">
        <f>IF(AND(C11="Y",N(J11)&gt;0),O11/J11,"")</f>
        <v/>
      </c>
      <c r="R11" s="27">
        <f>IF(AND(C11="Y",N(L11)&gt;0),N11/L11,"")</f>
        <v/>
      </c>
      <c r="S11" s="10">
        <f>IF(N(I11)&gt;0,J11/I11,"")</f>
        <v/>
      </c>
      <c r="T11" s="10">
        <f>IF(N(L11)&gt;0,K11/L11,"")</f>
        <v/>
      </c>
    </row>
    <row r="12">
      <c r="B12" s="20" t="inlineStr"/>
      <c r="C12" s="20" t="inlineStr"/>
      <c r="D12" s="20" t="inlineStr"/>
      <c r="E12" s="20" t="inlineStr"/>
      <c r="F12" s="15" t="n"/>
      <c r="G12" s="15" t="n"/>
      <c r="H12" s="15" t="n"/>
      <c r="I12" s="15" t="n"/>
      <c r="J12" s="15" t="n"/>
      <c r="K12" s="15" t="n"/>
      <c r="L12" s="15" t="n"/>
      <c r="M12" s="16" t="n"/>
      <c r="N12" s="13">
        <f>IF(F12="","",F12*G12)</f>
        <v/>
      </c>
      <c r="O12" s="13">
        <f>IF(N12="","",N12+H12)</f>
        <v/>
      </c>
      <c r="P12" s="27">
        <f>IF(AND(C12="Y",N(K12)&gt;0),N12/K12,"")</f>
        <v/>
      </c>
      <c r="Q12" s="27">
        <f>IF(AND(C12="Y",N(J12)&gt;0),O12/J12,"")</f>
        <v/>
      </c>
      <c r="R12" s="27">
        <f>IF(AND(C12="Y",N(L12)&gt;0),N12/L12,"")</f>
        <v/>
      </c>
      <c r="S12" s="10">
        <f>IF(N(I12)&gt;0,J12/I12,"")</f>
        <v/>
      </c>
      <c r="T12" s="10">
        <f>IF(N(L12)&gt;0,K12/L12,"")</f>
        <v/>
      </c>
    </row>
    <row r="14">
      <c r="B14" s="8" t="inlineStr">
        <is>
          <t>Median (included)</t>
        </is>
      </c>
      <c r="P14" s="28">
        <f>IF(COUNT(P5:P12)=0,"",MEDIAN(P5:P12))</f>
        <v/>
      </c>
      <c r="Q14" s="28">
        <f>IF(COUNT(Q5:Q12)=0,"",MEDIAN(Q5:Q12))</f>
        <v/>
      </c>
      <c r="R14" s="28">
        <f>IF(COUNT(R5:R12)=0,"",MEDIAN(R5:R12))</f>
        <v/>
      </c>
      <c r="S14" s="23">
        <f>IF(COUNT(S5:S12)=0,"",MEDIAN(S5:S12))</f>
        <v/>
      </c>
      <c r="T14" s="23">
        <f>IF(COUNT(T5:T12)=0,"",MEDIAN(T5:T12))</f>
        <v/>
      </c>
    </row>
    <row r="15">
      <c r="B15" s="8" t="inlineStr">
        <is>
          <t>Mean (included)</t>
        </is>
      </c>
      <c r="P15" s="27">
        <f>IF(COUNT(P5:P12)=0,"",AVERAGE(P5:P12))</f>
        <v/>
      </c>
      <c r="Q15" s="27">
        <f>IF(COUNT(Q5:Q12)=0,"",AVERAGE(Q5:Q12))</f>
        <v/>
      </c>
      <c r="R15" s="27">
        <f>IF(COUNT(R5:R12)=0,"",AVERAGE(R5:R12))</f>
        <v/>
      </c>
      <c r="S15" s="10">
        <f>IF(COUNT(S5:S12)=0,"",AVERAGE(S5:S12))</f>
        <v/>
      </c>
      <c r="T15" s="10">
        <f>IF(COUNT(T5:T12)=0,"",AVERAGE(T5:T12))</f>
        <v/>
      </c>
    </row>
    <row r="16">
      <c r="B16" s="8" t="inlineStr">
        <is>
          <t>Min</t>
        </is>
      </c>
      <c r="P16" s="27">
        <f>IF(COUNT(P5:P12)=0,"",MIN(P5:P12))</f>
        <v/>
      </c>
      <c r="Q16" s="27">
        <f>IF(COUNT(Q5:Q12)=0,"",MIN(Q5:Q12))</f>
        <v/>
      </c>
      <c r="R16" s="27">
        <f>IF(COUNT(R5:R12)=0,"",MIN(R5:R12))</f>
        <v/>
      </c>
      <c r="S16" s="10">
        <f>IF(COUNT(S5:S12)=0,"",MIN(S5:S12))</f>
        <v/>
      </c>
      <c r="T16" s="10">
        <f>IF(COUNT(T5:T12)=0,"",MIN(T5:T12))</f>
        <v/>
      </c>
    </row>
    <row r="17">
      <c r="B17" s="8" t="inlineStr">
        <is>
          <t>Max</t>
        </is>
      </c>
      <c r="P17" s="27">
        <f>IF(COUNT(P5:P12)=0,"",MAX(P5:P12))</f>
        <v/>
      </c>
      <c r="Q17" s="27">
        <f>IF(COUNT(Q5:Q12)=0,"",MAX(Q5:Q12))</f>
        <v/>
      </c>
      <c r="R17" s="27">
        <f>IF(COUNT(R5:R12)=0,"",MAX(R5:R12))</f>
        <v/>
      </c>
      <c r="S17" s="10">
        <f>IF(COUNT(S5:S12)=0,"",MAX(S5:S12))</f>
        <v/>
      </c>
      <c r="T17" s="10">
        <f>IF(COUNT(T5:T12)=0,"",MAX(T5:T12))</f>
        <v/>
      </c>
    </row>
    <row r="19">
      <c r="B19" s="7" t="inlineStr">
        <is>
          <t>Company</t>
        </is>
      </c>
      <c r="C19" s="7" t="inlineStr">
        <is>
          <t>Include (Y/N)</t>
        </is>
      </c>
      <c r="D19" s="7" t="inlineStr">
        <is>
          <t>Business-model match</t>
        </is>
      </c>
      <c r="E19" s="7" t="inlineStr">
        <is>
          <t>Basis</t>
        </is>
      </c>
      <c r="F19" s="7" t="inlineStr">
        <is>
          <t>CMP (Rs)</t>
        </is>
      </c>
      <c r="G19" s="7" t="inlineStr">
        <is>
          <t>Shares (cr)</t>
        </is>
      </c>
      <c r="H19" s="7" t="inlineStr">
        <is>
          <t>Net debt</t>
        </is>
      </c>
      <c r="I19" s="7" t="inlineStr">
        <is>
          <t>Revenue</t>
        </is>
      </c>
      <c r="J19" s="7" t="inlineStr">
        <is>
          <t>EBITDA</t>
        </is>
      </c>
      <c r="K19" s="7" t="inlineStr">
        <is>
          <t>PAT</t>
        </is>
      </c>
      <c r="L19" s="7" t="inlineStr">
        <is>
          <t>Net worth</t>
        </is>
      </c>
      <c r="M19" s="7" t="inlineStr">
        <is>
          <t>Rev growth</t>
        </is>
      </c>
      <c r="N19" s="7" t="inlineStr">
        <is>
          <t>Mcap</t>
        </is>
      </c>
      <c r="O19" s="7" t="inlineStr">
        <is>
          <t>EV</t>
        </is>
      </c>
      <c r="P19" s="7" t="inlineStr">
        <is>
          <t>P/E</t>
        </is>
      </c>
      <c r="Q19" s="7" t="inlineStr">
        <is>
          <t>EV/EBITDA</t>
        </is>
      </c>
      <c r="R19" s="7" t="inlineStr">
        <is>
          <t>P/B</t>
        </is>
      </c>
      <c r="S19" s="7" t="inlineStr">
        <is>
          <t>EBITDA margin</t>
        </is>
      </c>
      <c r="T19" s="7" t="inlineStr">
        <is>
          <t>ROE</t>
        </is>
      </c>
    </row>
    <row r="20">
      <c r="B20" s="8" t="inlineStr">
        <is>
          <t>Issuer at floor (post-issue)</t>
        </is>
      </c>
      <c r="C20" s="12" t="inlineStr">
        <is>
          <t>Y</t>
        </is>
      </c>
      <c r="E20" s="6">
        <f>'Assumptions'!$C$9</f>
        <v/>
      </c>
      <c r="F20" s="9">
        <f>'Assumptions'!$C$15</f>
        <v/>
      </c>
      <c r="G20" s="13">
        <f>'Assumptions'!$C$10+'Assumptions'!$C$11+IF('Assumptions'!$C$13&gt;0,'Assumptions'!$C$13,'Assumptions'!$C$12/F20)</f>
        <v/>
      </c>
      <c r="H20" s="13">
        <f>'Assumptions'!$C$31-'Assumptions'!$C$55</f>
        <v/>
      </c>
      <c r="I20" s="9">
        <f>'Assumptions'!$C$25</f>
        <v/>
      </c>
      <c r="J20" s="9">
        <f>'Assumptions'!$C$27</f>
        <v/>
      </c>
      <c r="K20" s="9">
        <f>'Assumptions'!$C$29</f>
        <v/>
      </c>
      <c r="L20" s="13">
        <f>'Assumptions'!$C$30+'Assumptions'!$C$55</f>
        <v/>
      </c>
      <c r="M20" s="10">
        <f>'Assumptions'!$C$25/'Assumptions'!$C$26-1</f>
        <v/>
      </c>
      <c r="N20" s="13">
        <f>F20*G20</f>
        <v/>
      </c>
      <c r="O20" s="13">
        <f>N20+H20</f>
        <v/>
      </c>
      <c r="P20" s="27">
        <f>IF(K20&gt;0,N20/K20,"n.m.")</f>
        <v/>
      </c>
      <c r="Q20" s="27">
        <f>IF(J20&gt;0,O20/J20,"n.m.")</f>
        <v/>
      </c>
      <c r="R20" s="27">
        <f>IF(L20&gt;0,N20/L20,"n.m.")</f>
        <v/>
      </c>
      <c r="S20" s="10">
        <f>J20/I20</f>
        <v/>
      </c>
      <c r="T20" s="10">
        <f>K20/L20</f>
        <v/>
      </c>
    </row>
    <row r="21">
      <c r="B21" s="8" t="inlineStr">
        <is>
          <t>Issuer at cap (post-issue)</t>
        </is>
      </c>
      <c r="C21" s="12" t="inlineStr">
        <is>
          <t>Y</t>
        </is>
      </c>
      <c r="E21" s="6">
        <f>'Assumptions'!$C$9</f>
        <v/>
      </c>
      <c r="F21" s="9">
        <f>'Assumptions'!$C$16</f>
        <v/>
      </c>
      <c r="G21" s="13">
        <f>'Assumptions'!$C$10+'Assumptions'!$C$11+IF('Assumptions'!$C$13&gt;0,'Assumptions'!$C$13,'Assumptions'!$C$12/F21)</f>
        <v/>
      </c>
      <c r="H21" s="13">
        <f>'Assumptions'!$C$31-'Assumptions'!$C$55</f>
        <v/>
      </c>
      <c r="I21" s="9">
        <f>'Assumptions'!$C$25</f>
        <v/>
      </c>
      <c r="J21" s="9">
        <f>'Assumptions'!$C$27</f>
        <v/>
      </c>
      <c r="K21" s="9">
        <f>'Assumptions'!$C$29</f>
        <v/>
      </c>
      <c r="L21" s="13">
        <f>'Assumptions'!$C$30+'Assumptions'!$C$55</f>
        <v/>
      </c>
      <c r="M21" s="10">
        <f>'Assumptions'!$C$25/'Assumptions'!$C$26-1</f>
        <v/>
      </c>
      <c r="N21" s="13">
        <f>F21*G21</f>
        <v/>
      </c>
      <c r="O21" s="13">
        <f>N21+H21</f>
        <v/>
      </c>
      <c r="P21" s="27">
        <f>IF(K21&gt;0,N21/K21,"n.m.")</f>
        <v/>
      </c>
      <c r="Q21" s="27">
        <f>IF(J21&gt;0,O21/J21,"n.m.")</f>
        <v/>
      </c>
      <c r="R21" s="27">
        <f>IF(L21&gt;0,N21/L21,"n.m.")</f>
        <v/>
      </c>
      <c r="S21" s="10">
        <f>J21/I21</f>
        <v/>
      </c>
      <c r="T21" s="10">
        <f>K21/L21</f>
        <v/>
      </c>
    </row>
    <row r="23">
      <c r="B23" s="8" t="inlineStr">
        <is>
          <t>Premium / (discount) to peer median at cap</t>
        </is>
      </c>
      <c r="P23" s="10">
        <f>IFERROR(P21/P14-1,"")</f>
        <v/>
      </c>
      <c r="Q23" s="10">
        <f>IFERROR(Q21/Q14-1,"")</f>
        <v/>
      </c>
      <c r="R23" s="10">
        <f>IFERROR(R21/R14-1,"")</f>
        <v/>
      </c>
    </row>
    <row r="25">
      <c r="B25" s="17" t="inlineStr">
        <is>
          <t>Peer basis must match the issuer: post-issue diluted, consolidated vs standalone consistent. Where the RHP gives no peers, build your own and disclose the set as ours.</t>
        </is>
      </c>
    </row>
    <row r="26">
      <c r="B26" s="17" t="inlineStr">
        <is>
          <t>Also anchor to recent comparable IPO pricings on the same platform where available.</t>
        </is>
      </c>
    </row>
  </sheetData>
  <dataValidations count="8">
    <dataValidation sqref="C5" showDropDown="0" showInputMessage="0" showErrorMessage="0" allowBlank="1" type="list">
      <formula1>"Y,N"</formula1>
    </dataValidation>
    <dataValidation sqref="C6" showDropDown="0" showInputMessage="0" showErrorMessage="0" allowBlank="1" type="list">
      <formula1>"Y,N"</formula1>
    </dataValidation>
    <dataValidation sqref="C7" showDropDown="0" showInputMessage="0" showErrorMessage="0" allowBlank="1" type="list">
      <formula1>"Y,N"</formula1>
    </dataValidation>
    <dataValidation sqref="C8" showDropDown="0" showInputMessage="0" showErrorMessage="0" allowBlank="1" type="list">
      <formula1>"Y,N"</formula1>
    </dataValidation>
    <dataValidation sqref="C9" showDropDown="0" showInputMessage="0" showErrorMessage="0" allowBlank="1" type="list">
      <formula1>"Y,N"</formula1>
    </dataValidation>
    <dataValidation sqref="C10" showDropDown="0" showInputMessage="0" showErrorMessage="0" allowBlank="1" type="list">
      <formula1>"Y,N"</formula1>
    </dataValidation>
    <dataValidation sqref="C11" showDropDown="0" showInputMessage="0" showErrorMessage="0" allowBlank="1" type="list">
      <formula1>"Y,N"</formula1>
    </dataValidation>
    <dataValidation sqref="C12" showDropDown="0" showInputMessage="0" showErrorMessage="0" allowBlank="1" type="list">
      <formula1>"Y,N"</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I13"/>
  <sheetViews>
    <sheetView showGridLines="0" workbookViewId="0">
      <selection activeCell="A1" sqref="A1"/>
    </sheetView>
  </sheetViews>
  <sheetFormatPr baseColWidth="8" defaultRowHeight="15"/>
  <cols>
    <col width="2" customWidth="1" min="1" max="1"/>
    <col width="46" customWidth="1" min="2" max="2"/>
    <col width="13" customWidth="1" min="3" max="3"/>
    <col width="14" customWidth="1" min="4" max="4"/>
    <col width="18" customWidth="1" min="5" max="5"/>
    <col width="16" customWidth="1" min="6" max="6"/>
    <col width="10" customWidth="1" min="7" max="7"/>
    <col width="12" customWidth="1" min="8" max="8"/>
    <col width="14" customWidth="1" min="9" max="9"/>
  </cols>
  <sheetData>
    <row r="1" ht="24" customHeight="1">
      <c r="A1" s="1" t="inlineStr">
        <is>
          <t>Relative valuation - peer median multiples applied to the issuer</t>
        </is>
      </c>
    </row>
    <row r="2" ht="20" customHeight="1">
      <c r="A2" s="2" t="inlineStr">
        <is>
          <t>Parshwanath Capital Ventures Fund | SEBI Registered CAT III AIF | IN/AIF3/25-26/2108 | Fund Manager: CA Deep Dalal | Sponsor: Jignesh Shah</t>
        </is>
      </c>
    </row>
    <row r="4">
      <c r="B4" s="7" t="inlineStr">
        <is>
          <t>Method</t>
        </is>
      </c>
      <c r="C4" s="7" t="inlineStr">
        <is>
          <t>Peer median</t>
        </is>
      </c>
      <c r="D4" s="7" t="inlineStr">
        <is>
          <t>Issuer metric</t>
        </is>
      </c>
      <c r="E4" s="7" t="inlineStr">
        <is>
          <t>Implied equity (Rs cr)</t>
        </is>
      </c>
      <c r="F4" s="7" t="inlineStr">
        <is>
          <t>Value / share (Rs)</t>
        </is>
      </c>
      <c r="G4" s="7" t="inlineStr">
        <is>
          <t>Weight</t>
        </is>
      </c>
      <c r="H4" s="7" t="inlineStr">
        <is>
          <t>Usable weight</t>
        </is>
      </c>
      <c r="I4" s="7" t="inlineStr">
        <is>
          <t>Weighted value</t>
        </is>
      </c>
    </row>
    <row r="5">
      <c r="B5" t="inlineStr">
        <is>
          <t>P/E x PAT</t>
        </is>
      </c>
      <c r="C5" s="29">
        <f>Peers!P14</f>
        <v/>
      </c>
      <c r="D5" s="9">
        <f>'Assumptions'!$C$29</f>
        <v/>
      </c>
      <c r="E5" s="13">
        <f>IF(ISNUMBER(C5),C5*D5,"")</f>
        <v/>
      </c>
      <c r="F5" s="13">
        <f>IF(ISNUMBER(E5),E5/'Assumptions'!$C$56,"")</f>
        <v/>
      </c>
      <c r="G5" s="25">
        <f>'Assumptions'!$C$49</f>
        <v/>
      </c>
      <c r="H5" s="10">
        <f>IF(ISNUMBER(F5),G5,0)</f>
        <v/>
      </c>
      <c r="I5" s="13">
        <f>IF(ISNUMBER(F5),F5*G5,0)</f>
        <v/>
      </c>
    </row>
    <row r="6">
      <c r="B6" t="inlineStr">
        <is>
          <t>EV/EBITDA x EBITDA - net debt + net proceeds</t>
        </is>
      </c>
      <c r="C6" s="29">
        <f>Peers!Q14</f>
        <v/>
      </c>
      <c r="D6" s="9">
        <f>'Assumptions'!$C$27</f>
        <v/>
      </c>
      <c r="E6" s="13">
        <f>IF(ISNUMBER(C6),C6*D6-'Assumptions'!$C$31+'Assumptions'!$C$55,"")</f>
        <v/>
      </c>
      <c r="F6" s="13">
        <f>IF(ISNUMBER(E6),E6/'Assumptions'!$C$56,"")</f>
        <v/>
      </c>
      <c r="G6" s="25">
        <f>'Assumptions'!$C$50</f>
        <v/>
      </c>
      <c r="H6" s="10">
        <f>IF(ISNUMBER(F6),G6,0)</f>
        <v/>
      </c>
      <c r="I6" s="13">
        <f>IF(ISNUMBER(F6),F6*G6,0)</f>
        <v/>
      </c>
    </row>
    <row r="7">
      <c r="B7" t="inlineStr">
        <is>
          <t>P/B x post-issue net worth</t>
        </is>
      </c>
      <c r="C7" s="29">
        <f>Peers!R14</f>
        <v/>
      </c>
      <c r="D7" s="9">
        <f>'Assumptions'!$C$30+'Assumptions'!$C$55</f>
        <v/>
      </c>
      <c r="E7" s="13">
        <f>IF(ISNUMBER(C7),C7*D7,"")</f>
        <v/>
      </c>
      <c r="F7" s="13">
        <f>IF(ISNUMBER(E7),E7/'Assumptions'!$C$56,"")</f>
        <v/>
      </c>
      <c r="G7" s="25">
        <f>'Assumptions'!$C$51</f>
        <v/>
      </c>
      <c r="H7" s="10">
        <f>IF(ISNUMBER(F7),G7,0)</f>
        <v/>
      </c>
      <c r="I7" s="13">
        <f>IF(ISNUMBER(F7),F7*G7,0)</f>
        <v/>
      </c>
    </row>
    <row r="9">
      <c r="B9" s="3" t="inlineStr">
        <is>
          <t>Weighted value per share (pre-discount)</t>
        </is>
      </c>
      <c r="F9" s="13">
        <f>IF(SUM(H5:H7)=0,"n.a.",SUM(I5:I7)/SUM(H5:H7))</f>
        <v/>
      </c>
    </row>
    <row r="10">
      <c r="B10" s="3" t="inlineStr">
        <is>
          <t>Discount to peer median</t>
        </is>
      </c>
      <c r="F10" s="10">
        <f>'Assumptions'!$C$52</f>
        <v/>
      </c>
    </row>
    <row r="11">
      <c r="B11" s="3" t="inlineStr">
        <is>
          <t>Relative value per share (Rs)</t>
        </is>
      </c>
      <c r="F11" s="11">
        <f>IF(ISNUMBER(F9),F9*(1-F10),"n.a.")</f>
        <v/>
      </c>
    </row>
    <row r="13">
      <c r="B13" s="17" t="inlineStr">
        <is>
          <t>Relative prices reported earnings; DCF prices cash. A large gap between them is the finding.</t>
        </is>
      </c>
    </row>
  </sheetData>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F18"/>
  <sheetViews>
    <sheetView showGridLines="0" workbookViewId="0">
      <selection activeCell="A1" sqref="A1"/>
    </sheetView>
  </sheetViews>
  <sheetFormatPr baseColWidth="8" defaultRowHeight="15"/>
  <cols>
    <col width="2" customWidth="1" min="1" max="1"/>
    <col width="52" customWidth="1" min="2" max="2"/>
    <col width="22" customWidth="1" min="3" max="3"/>
    <col width="22" customWidth="1" min="4" max="4"/>
    <col width="16" customWidth="1" min="5" max="5"/>
    <col width="22" customWidth="1" min="6" max="6"/>
  </cols>
  <sheetData>
    <row r="1" ht="24" customHeight="1">
      <c r="A1" s="1" t="inlineStr">
        <is>
          <t>Reverse DCF - what the price asks for, one lever at a time</t>
        </is>
      </c>
    </row>
    <row r="2" ht="20" customHeight="1">
      <c r="A2" s="2" t="inlineStr">
        <is>
          <t>Parshwanath Capital Ventures Fund | SEBI Registered CAT III AIF | IN/AIF3/25-26/2108 | Fund Manager: CA Deep Dalal | Sponsor: Jignesh Shah</t>
        </is>
      </c>
    </row>
    <row r="4">
      <c r="B4" s="7" t="inlineStr">
        <is>
          <t>Item</t>
        </is>
      </c>
      <c r="C4" s="7" t="inlineStr">
        <is>
          <t>At floor</t>
        </is>
      </c>
      <c r="D4" s="7" t="inlineStr">
        <is>
          <t>At cap</t>
        </is>
      </c>
      <c r="E4" s="7" t="inlineStr">
        <is>
          <t>Actual / model</t>
        </is>
      </c>
    </row>
    <row r="5">
      <c r="B5" t="inlineStr">
        <is>
          <t>Price (Rs)</t>
        </is>
      </c>
      <c r="C5" s="13">
        <f>'Assumptions'!$C$15</f>
        <v/>
      </c>
      <c r="D5" s="13">
        <f>'Assumptions'!$C$16</f>
        <v/>
      </c>
    </row>
    <row r="6">
      <c r="B6" t="inlineStr">
        <is>
          <t>Market cap (Rs cr)</t>
        </is>
      </c>
      <c r="C6" s="13">
        <f>'Assumptions'!$C$15*('Assumptions'!$C$10+'Assumptions'!$C$11+IF('Assumptions'!$C$13&gt;0,'Assumptions'!$C$13,'Assumptions'!$C$12/'Assumptions'!$C$15))</f>
        <v/>
      </c>
      <c r="D6" s="13">
        <f>'Assumptions'!$C$16*('Assumptions'!$C$10+'Assumptions'!$C$11+IF('Assumptions'!$C$13&gt;0,'Assumptions'!$C$13,'Assumptions'!$C$12/'Assumptions'!$C$16))</f>
        <v/>
      </c>
    </row>
    <row r="7">
      <c r="B7" t="inlineStr">
        <is>
          <t>Implied EV = mcap + net debt - net proceeds</t>
        </is>
      </c>
      <c r="C7" s="13">
        <f>C6+'Assumptions'!$C$31-'Assumptions'!$C$55</f>
        <v/>
      </c>
      <c r="D7" s="13">
        <f>D6+'Assumptions'!$C$31-'Assumptions'!$C$55</f>
        <v/>
      </c>
    </row>
    <row r="8">
      <c r="B8" t="inlineStr">
        <is>
          <t>Current FCFF (Y0 actual)</t>
        </is>
      </c>
      <c r="C8" s="13">
        <f>DCF!$C$18</f>
        <v/>
      </c>
      <c r="D8" s="13">
        <f>DCF!$C$18</f>
        <v/>
      </c>
    </row>
    <row r="9">
      <c r="B9" t="inlineStr">
        <is>
          <t>EV / current FCFF</t>
        </is>
      </c>
      <c r="C9" s="27">
        <f>IF(C8&lt;=0,"No multiple: FCF negative - the price assumes cash generation improves",C7/C8)</f>
        <v/>
      </c>
      <c r="D9" s="27">
        <f>IF(D8&lt;=0,"No multiple: FCF negative - the price assumes cash generation improves",D7/D8)</f>
        <v/>
      </c>
    </row>
    <row r="11">
      <c r="B11" t="inlineStr">
        <is>
          <t>Lever 1 - implied perpetual growth on current FCFF</t>
        </is>
      </c>
      <c r="C11" s="10">
        <f>IF(C8&lt;=0,"n.m. (FCF negative)",(C7*'Assumptions'!$C$60-C8)/(C7+C8))</f>
        <v/>
      </c>
      <c r="D11" s="10">
        <f>IF(D8&lt;=0,"n.m. (FCF negative)",(D7*'Assumptions'!$C$60-D8)/(D7+D8))</f>
        <v/>
      </c>
      <c r="E11" s="25">
        <f>'Assumptions'!$C$45</f>
        <v/>
      </c>
      <c r="F11" s="17" t="inlineStr">
        <is>
          <t>terminal g used</t>
        </is>
      </c>
    </row>
    <row r="12">
      <c r="B12" t="inlineStr">
        <is>
          <t>Lever 2 - implied WACC at terminal g</t>
        </is>
      </c>
      <c r="C12" s="10">
        <f>IF(C8&lt;=0,"n.m. (FCF negative)",C8*(1+'Assumptions'!$C$45)/C7+'Assumptions'!$C$45)</f>
        <v/>
      </c>
      <c r="D12" s="10">
        <f>IF(D8&lt;=0,"n.m. (FCF negative)",D8*(1+'Assumptions'!$C$45)/D7+'Assumptions'!$C$45)</f>
        <v/>
      </c>
      <c r="E12" s="25">
        <f>'Assumptions'!$C$60</f>
        <v/>
      </c>
      <c r="F12" s="17" t="inlineStr">
        <is>
          <t>model WACC</t>
        </is>
      </c>
    </row>
    <row r="13">
      <c r="B13" t="inlineStr">
        <is>
          <t>Lever 3 - required EBIT margin (steady state)</t>
        </is>
      </c>
      <c r="C13" s="10">
        <f>C7*('Assumptions'!$C$60-'Assumptions'!$C$45)/((1+'Assumptions'!$C$45)*(1-'Assumptions'!$C$45/Assumptions!$C$74))/(1-'Assumptions'!$C$35)/'Assumptions'!$C$25</f>
        <v/>
      </c>
      <c r="D13" s="10">
        <f>D7*('Assumptions'!$C$60-'Assumptions'!$C$45)/((1+'Assumptions'!$C$45)*(1-'Assumptions'!$C$45/Assumptions!$C$74))/(1-'Assumptions'!$C$35)/'Assumptions'!$C$25</f>
        <v/>
      </c>
      <c r="E13" s="25">
        <f>DCF!$C$11/DCF!$C$7</f>
        <v/>
      </c>
      <c r="F13" s="17" t="inlineStr">
        <is>
          <t>actual EBIT margin</t>
        </is>
      </c>
    </row>
    <row r="14">
      <c r="B14" t="inlineStr">
        <is>
          <t>Lever 4 - required NWC % of revenue (steady state)</t>
        </is>
      </c>
      <c r="C14" s="10">
        <f>IF((DCF!$C$13-'Assumptions'!$C$62*'Assumptions'!$C$25*'Assumptions'!$C$45-C7*('Assumptions'!$C$60-'Assumptions'!$C$45)/(1+'Assumptions'!$C$45))&lt;0,"Unreachable: needs negative working capital",(DCF!$C$13-'Assumptions'!$C$62*'Assumptions'!$C$25*'Assumptions'!$C$45-C7*('Assumptions'!$C$60-'Assumptions'!$C$45)/(1+'Assumptions'!$C$45))/('Assumptions'!$C$25*'Assumptions'!$C$45))</f>
        <v/>
      </c>
      <c r="D14" s="10">
        <f>IF((DCF!$C$13-'Assumptions'!$C$62*'Assumptions'!$C$25*'Assumptions'!$C$45-D7*('Assumptions'!$C$60-'Assumptions'!$C$45)/(1+'Assumptions'!$C$45))&lt;0,"Unreachable: needs negative working capital",(DCF!$C$13-'Assumptions'!$C$62*'Assumptions'!$C$25*'Assumptions'!$C$45-D7*('Assumptions'!$C$60-'Assumptions'!$C$45)/(1+'Assumptions'!$C$45))/('Assumptions'!$C$25*'Assumptions'!$C$45))</f>
        <v/>
      </c>
      <c r="E14" s="25">
        <f>'Assumptions'!$C$32/'Assumptions'!$C$25</f>
        <v/>
      </c>
      <c r="F14" s="17" t="inlineStr">
        <is>
          <t>actual NWC %</t>
        </is>
      </c>
    </row>
    <row r="16">
      <c r="B16" s="8" t="inlineStr">
        <is>
          <t>In plain words (at cap)</t>
        </is>
      </c>
      <c r="C16" s="12">
        <f>IF(D8&lt;=0,"Current free cash flow is negative, so no multiple can be stated: the price assumes cash generation improves from here.","The price asks the business to deliver "&amp;TEXT(D9,"0.0")&amp;" times its current free cash flow, in perpetuity.")</f>
        <v/>
      </c>
    </row>
    <row r="18">
      <c r="B18" s="17" t="inlineStr">
        <is>
          <t>Levers 1-2 use actual Y0 FCFF (Gordon). Levers 3-4 use a steady state: capex = D&amp;A + k x dRev, terminal reinvestment g/ROIC. One implausible lever is an argument; four is a conclusion.</t>
        </is>
      </c>
    </row>
  </sheetData>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G20"/>
  <sheetViews>
    <sheetView showGridLines="0" workbookViewId="0">
      <selection activeCell="A1" sqref="A1"/>
    </sheetView>
  </sheetViews>
  <sheetFormatPr baseColWidth="8" defaultRowHeight="15"/>
  <cols>
    <col width="2" customWidth="1" min="1" max="1"/>
    <col width="16" customWidth="1" min="2" max="2"/>
    <col width="13" customWidth="1" min="3" max="3"/>
    <col width="13" customWidth="1" min="4" max="4"/>
    <col width="13" customWidth="1" min="5" max="5"/>
    <col width="13" customWidth="1" min="6" max="6"/>
    <col width="13" customWidth="1" min="7" max="7"/>
  </cols>
  <sheetData>
    <row r="1" ht="24" customHeight="1">
      <c r="A1" s="1" t="inlineStr">
        <is>
          <t>Sensitivity - value per share (Rs)</t>
        </is>
      </c>
    </row>
    <row r="2" ht="20" customHeight="1">
      <c r="A2" s="2" t="inlineStr">
        <is>
          <t>Parshwanath Capital Ventures Fund | SEBI Registered CAT III AIF | IN/AIF3/25-26/2108 | Fund Manager: CA Deep Dalal | Sponsor: Jignesh Shah</t>
        </is>
      </c>
    </row>
    <row r="4">
      <c r="B4" s="3" t="inlineStr">
        <is>
          <t>Grid 1: WACC (rows) vs terminal growth (columns)</t>
        </is>
      </c>
    </row>
    <row r="5">
      <c r="C5" s="10">
        <f>'Assumptions'!$C$45+-0.01</f>
        <v/>
      </c>
      <c r="D5" s="10">
        <f>'Assumptions'!$C$45+-0.005</f>
        <v/>
      </c>
      <c r="E5" s="10">
        <f>'Assumptions'!$C$45+0</f>
        <v/>
      </c>
      <c r="F5" s="10">
        <f>'Assumptions'!$C$45+0.005</f>
        <v/>
      </c>
      <c r="G5" s="10">
        <f>'Assumptions'!$C$45+0.01</f>
        <v/>
      </c>
    </row>
    <row r="6">
      <c r="B6" s="10">
        <f>'Assumptions'!$C$60+-0.02</f>
        <v/>
      </c>
      <c r="C6" s="13">
        <f>IF($B6-C$5&lt;=0,"n.m.",(NPV($B6,DCF!$D$18:$H$18)+DCF!$H$13*(1+C$5)*(1-C$5/Assumptions!$C$74)/($B6-C$5)/(1+$B6)^5-'Assumptions'!$C$31+'Assumptions'!$C$58)/'Assumptions'!$C$56)</f>
        <v/>
      </c>
      <c r="D6" s="13">
        <f>IF($B6-D$5&lt;=0,"n.m.",(NPV($B6,DCF!$D$18:$H$18)+DCF!$H$13*(1+D$5)*(1-D$5/Assumptions!$C$74)/($B6-D$5)/(1+$B6)^5-'Assumptions'!$C$31+'Assumptions'!$C$58)/'Assumptions'!$C$56)</f>
        <v/>
      </c>
      <c r="E6" s="13">
        <f>IF($B6-E$5&lt;=0,"n.m.",(NPV($B6,DCF!$D$18:$H$18)+DCF!$H$13*(1+E$5)*(1-E$5/Assumptions!$C$74)/($B6-E$5)/(1+$B6)^5-'Assumptions'!$C$31+'Assumptions'!$C$58)/'Assumptions'!$C$56)</f>
        <v/>
      </c>
      <c r="F6" s="13">
        <f>IF($B6-F$5&lt;=0,"n.m.",(NPV($B6,DCF!$D$18:$H$18)+DCF!$H$13*(1+F$5)*(1-F$5/Assumptions!$C$74)/($B6-F$5)/(1+$B6)^5-'Assumptions'!$C$31+'Assumptions'!$C$58)/'Assumptions'!$C$56)</f>
        <v/>
      </c>
      <c r="G6" s="13">
        <f>IF($B6-G$5&lt;=0,"n.m.",(NPV($B6,DCF!$D$18:$H$18)+DCF!$H$13*(1+G$5)*(1-G$5/Assumptions!$C$74)/($B6-G$5)/(1+$B6)^5-'Assumptions'!$C$31+'Assumptions'!$C$58)/'Assumptions'!$C$56)</f>
        <v/>
      </c>
    </row>
    <row r="7">
      <c r="B7" s="10">
        <f>'Assumptions'!$C$60+-0.01</f>
        <v/>
      </c>
      <c r="C7" s="13">
        <f>IF($B7-C$5&lt;=0,"n.m.",(NPV($B7,DCF!$D$18:$H$18)+DCF!$H$13*(1+C$5)*(1-C$5/Assumptions!$C$74)/($B7-C$5)/(1+$B7)^5-'Assumptions'!$C$31+'Assumptions'!$C$58)/'Assumptions'!$C$56)</f>
        <v/>
      </c>
      <c r="D7" s="13">
        <f>IF($B7-D$5&lt;=0,"n.m.",(NPV($B7,DCF!$D$18:$H$18)+DCF!$H$13*(1+D$5)*(1-D$5/Assumptions!$C$74)/($B7-D$5)/(1+$B7)^5-'Assumptions'!$C$31+'Assumptions'!$C$58)/'Assumptions'!$C$56)</f>
        <v/>
      </c>
      <c r="E7" s="13">
        <f>IF($B7-E$5&lt;=0,"n.m.",(NPV($B7,DCF!$D$18:$H$18)+DCF!$H$13*(1+E$5)*(1-E$5/Assumptions!$C$74)/($B7-E$5)/(1+$B7)^5-'Assumptions'!$C$31+'Assumptions'!$C$58)/'Assumptions'!$C$56)</f>
        <v/>
      </c>
      <c r="F7" s="13">
        <f>IF($B7-F$5&lt;=0,"n.m.",(NPV($B7,DCF!$D$18:$H$18)+DCF!$H$13*(1+F$5)*(1-F$5/Assumptions!$C$74)/($B7-F$5)/(1+$B7)^5-'Assumptions'!$C$31+'Assumptions'!$C$58)/'Assumptions'!$C$56)</f>
        <v/>
      </c>
      <c r="G7" s="13">
        <f>IF($B7-G$5&lt;=0,"n.m.",(NPV($B7,DCF!$D$18:$H$18)+DCF!$H$13*(1+G$5)*(1-G$5/Assumptions!$C$74)/($B7-G$5)/(1+$B7)^5-'Assumptions'!$C$31+'Assumptions'!$C$58)/'Assumptions'!$C$56)</f>
        <v/>
      </c>
    </row>
    <row r="8">
      <c r="B8" s="10">
        <f>'Assumptions'!$C$60+0</f>
        <v/>
      </c>
      <c r="C8" s="13">
        <f>IF($B8-C$5&lt;=0,"n.m.",(NPV($B8,DCF!$D$18:$H$18)+DCF!$H$13*(1+C$5)*(1-C$5/Assumptions!$C$74)/($B8-C$5)/(1+$B8)^5-'Assumptions'!$C$31+'Assumptions'!$C$58)/'Assumptions'!$C$56)</f>
        <v/>
      </c>
      <c r="D8" s="13">
        <f>IF($B8-D$5&lt;=0,"n.m.",(NPV($B8,DCF!$D$18:$H$18)+DCF!$H$13*(1+D$5)*(1-D$5/Assumptions!$C$74)/($B8-D$5)/(1+$B8)^5-'Assumptions'!$C$31+'Assumptions'!$C$58)/'Assumptions'!$C$56)</f>
        <v/>
      </c>
      <c r="E8" s="11">
        <f>IF($B8-E$5&lt;=0,"n.m.",(NPV($B8,DCF!$D$18:$H$18)+DCF!$H$13*(1+E$5)*(1-E$5/Assumptions!$C$74)/($B8-E$5)/(1+$B8)^5-'Assumptions'!$C$31+'Assumptions'!$C$58)/'Assumptions'!$C$56)</f>
        <v/>
      </c>
      <c r="F8" s="13">
        <f>IF($B8-F$5&lt;=0,"n.m.",(NPV($B8,DCF!$D$18:$H$18)+DCF!$H$13*(1+F$5)*(1-F$5/Assumptions!$C$74)/($B8-F$5)/(1+$B8)^5-'Assumptions'!$C$31+'Assumptions'!$C$58)/'Assumptions'!$C$56)</f>
        <v/>
      </c>
      <c r="G8" s="13">
        <f>IF($B8-G$5&lt;=0,"n.m.",(NPV($B8,DCF!$D$18:$H$18)+DCF!$H$13*(1+G$5)*(1-G$5/Assumptions!$C$74)/($B8-G$5)/(1+$B8)^5-'Assumptions'!$C$31+'Assumptions'!$C$58)/'Assumptions'!$C$56)</f>
        <v/>
      </c>
    </row>
    <row r="9">
      <c r="B9" s="10">
        <f>'Assumptions'!$C$60+0.01</f>
        <v/>
      </c>
      <c r="C9" s="13">
        <f>IF($B9-C$5&lt;=0,"n.m.",(NPV($B9,DCF!$D$18:$H$18)+DCF!$H$13*(1+C$5)*(1-C$5/Assumptions!$C$74)/($B9-C$5)/(1+$B9)^5-'Assumptions'!$C$31+'Assumptions'!$C$58)/'Assumptions'!$C$56)</f>
        <v/>
      </c>
      <c r="D9" s="13">
        <f>IF($B9-D$5&lt;=0,"n.m.",(NPV($B9,DCF!$D$18:$H$18)+DCF!$H$13*(1+D$5)*(1-D$5/Assumptions!$C$74)/($B9-D$5)/(1+$B9)^5-'Assumptions'!$C$31+'Assumptions'!$C$58)/'Assumptions'!$C$56)</f>
        <v/>
      </c>
      <c r="E9" s="13">
        <f>IF($B9-E$5&lt;=0,"n.m.",(NPV($B9,DCF!$D$18:$H$18)+DCF!$H$13*(1+E$5)*(1-E$5/Assumptions!$C$74)/($B9-E$5)/(1+$B9)^5-'Assumptions'!$C$31+'Assumptions'!$C$58)/'Assumptions'!$C$56)</f>
        <v/>
      </c>
      <c r="F9" s="13">
        <f>IF($B9-F$5&lt;=0,"n.m.",(NPV($B9,DCF!$D$18:$H$18)+DCF!$H$13*(1+F$5)*(1-F$5/Assumptions!$C$74)/($B9-F$5)/(1+$B9)^5-'Assumptions'!$C$31+'Assumptions'!$C$58)/'Assumptions'!$C$56)</f>
        <v/>
      </c>
      <c r="G9" s="13">
        <f>IF($B9-G$5&lt;=0,"n.m.",(NPV($B9,DCF!$D$18:$H$18)+DCF!$H$13*(1+G$5)*(1-G$5/Assumptions!$C$74)/($B9-G$5)/(1+$B9)^5-'Assumptions'!$C$31+'Assumptions'!$C$58)/'Assumptions'!$C$56)</f>
        <v/>
      </c>
    </row>
    <row r="10">
      <c r="B10" s="10">
        <f>'Assumptions'!$C$60+0.02</f>
        <v/>
      </c>
      <c r="C10" s="13">
        <f>IF($B10-C$5&lt;=0,"n.m.",(NPV($B10,DCF!$D$18:$H$18)+DCF!$H$13*(1+C$5)*(1-C$5/Assumptions!$C$74)/($B10-C$5)/(1+$B10)^5-'Assumptions'!$C$31+'Assumptions'!$C$58)/'Assumptions'!$C$56)</f>
        <v/>
      </c>
      <c r="D10" s="13">
        <f>IF($B10-D$5&lt;=0,"n.m.",(NPV($B10,DCF!$D$18:$H$18)+DCF!$H$13*(1+D$5)*(1-D$5/Assumptions!$C$74)/($B10-D$5)/(1+$B10)^5-'Assumptions'!$C$31+'Assumptions'!$C$58)/'Assumptions'!$C$56)</f>
        <v/>
      </c>
      <c r="E10" s="13">
        <f>IF($B10-E$5&lt;=0,"n.m.",(NPV($B10,DCF!$D$18:$H$18)+DCF!$H$13*(1+E$5)*(1-E$5/Assumptions!$C$74)/($B10-E$5)/(1+$B10)^5-'Assumptions'!$C$31+'Assumptions'!$C$58)/'Assumptions'!$C$56)</f>
        <v/>
      </c>
      <c r="F10" s="13">
        <f>IF($B10-F$5&lt;=0,"n.m.",(NPV($B10,DCF!$D$18:$H$18)+DCF!$H$13*(1+F$5)*(1-F$5/Assumptions!$C$74)/($B10-F$5)/(1+$B10)^5-'Assumptions'!$C$31+'Assumptions'!$C$58)/'Assumptions'!$C$56)</f>
        <v/>
      </c>
      <c r="G10" s="13">
        <f>IF($B10-G$5&lt;=0,"n.m.",(NPV($B10,DCF!$D$18:$H$18)+DCF!$H$13*(1+G$5)*(1-G$5/Assumptions!$C$74)/($B10-G$5)/(1+$B10)^5-'Assumptions'!$C$31+'Assumptions'!$C$58)/'Assumptions'!$C$56)</f>
        <v/>
      </c>
    </row>
    <row r="12">
      <c r="B12" s="3" t="inlineStr">
        <is>
          <t>Grid 2: NWC % of revenue (rows) vs EBITDA margin (columns) - model WACC and g</t>
        </is>
      </c>
    </row>
    <row r="13">
      <c r="C13" s="10">
        <f>Assumptions!$C$72+-0.02</f>
        <v/>
      </c>
      <c r="D13" s="10">
        <f>Assumptions!$C$72+-0.01</f>
        <v/>
      </c>
      <c r="E13" s="10">
        <f>Assumptions!$C$72+0</f>
        <v/>
      </c>
      <c r="F13" s="10">
        <f>Assumptions!$C$72+0.01</f>
        <v/>
      </c>
      <c r="G13" s="10">
        <f>Assumptions!$C$72+0.02</f>
        <v/>
      </c>
    </row>
    <row r="14">
      <c r="B14" s="10">
        <f>Assumptions!$C$73+-0.06</f>
        <v/>
      </c>
      <c r="C14" s="13">
        <f>DCF!$C$37+((C$13-Assumptions!$C$72)*(1-'Assumptions'!$C$35)*(SUMPRODUCT(DCF!$D$7:$H$7,DCF!$D$19:$H$19)+DCF!$H$7*(1+'Assumptions'!$C$45)*(1-'Assumptions'!$C$45/Assumptions!$C$74)/('Assumptions'!$C$60-'Assumptions'!$C$45)*DCF!$H$19)+SUMPRODUCT(DCF!$D$17:$H$17,DCF!$D$19:$H$19)-((DCF!$D$7*$B14-DCF!$C$16)*DCF!$D$19+$B14*SUMPRODUCT(DCF!$E$7:$H$7-DCF!$D$7:$G$7,DCF!$E$19:$H$19)))/'Assumptions'!$C$56</f>
        <v/>
      </c>
      <c r="D14" s="13">
        <f>DCF!$C$37+((D$13-Assumptions!$C$72)*(1-'Assumptions'!$C$35)*(SUMPRODUCT(DCF!$D$7:$H$7,DCF!$D$19:$H$19)+DCF!$H$7*(1+'Assumptions'!$C$45)*(1-'Assumptions'!$C$45/Assumptions!$C$74)/('Assumptions'!$C$60-'Assumptions'!$C$45)*DCF!$H$19)+SUMPRODUCT(DCF!$D$17:$H$17,DCF!$D$19:$H$19)-((DCF!$D$7*$B14-DCF!$C$16)*DCF!$D$19+$B14*SUMPRODUCT(DCF!$E$7:$H$7-DCF!$D$7:$G$7,DCF!$E$19:$H$19)))/'Assumptions'!$C$56</f>
        <v/>
      </c>
      <c r="E14" s="13">
        <f>DCF!$C$37+((E$13-Assumptions!$C$72)*(1-'Assumptions'!$C$35)*(SUMPRODUCT(DCF!$D$7:$H$7,DCF!$D$19:$H$19)+DCF!$H$7*(1+'Assumptions'!$C$45)*(1-'Assumptions'!$C$45/Assumptions!$C$74)/('Assumptions'!$C$60-'Assumptions'!$C$45)*DCF!$H$19)+SUMPRODUCT(DCF!$D$17:$H$17,DCF!$D$19:$H$19)-((DCF!$D$7*$B14-DCF!$C$16)*DCF!$D$19+$B14*SUMPRODUCT(DCF!$E$7:$H$7-DCF!$D$7:$G$7,DCF!$E$19:$H$19)))/'Assumptions'!$C$56</f>
        <v/>
      </c>
      <c r="F14" s="13">
        <f>DCF!$C$37+((F$13-Assumptions!$C$72)*(1-'Assumptions'!$C$35)*(SUMPRODUCT(DCF!$D$7:$H$7,DCF!$D$19:$H$19)+DCF!$H$7*(1+'Assumptions'!$C$45)*(1-'Assumptions'!$C$45/Assumptions!$C$74)/('Assumptions'!$C$60-'Assumptions'!$C$45)*DCF!$H$19)+SUMPRODUCT(DCF!$D$17:$H$17,DCF!$D$19:$H$19)-((DCF!$D$7*$B14-DCF!$C$16)*DCF!$D$19+$B14*SUMPRODUCT(DCF!$E$7:$H$7-DCF!$D$7:$G$7,DCF!$E$19:$H$19)))/'Assumptions'!$C$56</f>
        <v/>
      </c>
      <c r="G14" s="13">
        <f>DCF!$C$37+((G$13-Assumptions!$C$72)*(1-'Assumptions'!$C$35)*(SUMPRODUCT(DCF!$D$7:$H$7,DCF!$D$19:$H$19)+DCF!$H$7*(1+'Assumptions'!$C$45)*(1-'Assumptions'!$C$45/Assumptions!$C$74)/('Assumptions'!$C$60-'Assumptions'!$C$45)*DCF!$H$19)+SUMPRODUCT(DCF!$D$17:$H$17,DCF!$D$19:$H$19)-((DCF!$D$7*$B14-DCF!$C$16)*DCF!$D$19+$B14*SUMPRODUCT(DCF!$E$7:$H$7-DCF!$D$7:$G$7,DCF!$E$19:$H$19)))/'Assumptions'!$C$56</f>
        <v/>
      </c>
    </row>
    <row r="15">
      <c r="B15" s="10">
        <f>Assumptions!$C$73+-0.03</f>
        <v/>
      </c>
      <c r="C15" s="13">
        <f>DCF!$C$37+((C$13-Assumptions!$C$72)*(1-'Assumptions'!$C$35)*(SUMPRODUCT(DCF!$D$7:$H$7,DCF!$D$19:$H$19)+DCF!$H$7*(1+'Assumptions'!$C$45)*(1-'Assumptions'!$C$45/Assumptions!$C$74)/('Assumptions'!$C$60-'Assumptions'!$C$45)*DCF!$H$19)+SUMPRODUCT(DCF!$D$17:$H$17,DCF!$D$19:$H$19)-((DCF!$D$7*$B15-DCF!$C$16)*DCF!$D$19+$B15*SUMPRODUCT(DCF!$E$7:$H$7-DCF!$D$7:$G$7,DCF!$E$19:$H$19)))/'Assumptions'!$C$56</f>
        <v/>
      </c>
      <c r="D15" s="13">
        <f>DCF!$C$37+((D$13-Assumptions!$C$72)*(1-'Assumptions'!$C$35)*(SUMPRODUCT(DCF!$D$7:$H$7,DCF!$D$19:$H$19)+DCF!$H$7*(1+'Assumptions'!$C$45)*(1-'Assumptions'!$C$45/Assumptions!$C$74)/('Assumptions'!$C$60-'Assumptions'!$C$45)*DCF!$H$19)+SUMPRODUCT(DCF!$D$17:$H$17,DCF!$D$19:$H$19)-((DCF!$D$7*$B15-DCF!$C$16)*DCF!$D$19+$B15*SUMPRODUCT(DCF!$E$7:$H$7-DCF!$D$7:$G$7,DCF!$E$19:$H$19)))/'Assumptions'!$C$56</f>
        <v/>
      </c>
      <c r="E15" s="13">
        <f>DCF!$C$37+((E$13-Assumptions!$C$72)*(1-'Assumptions'!$C$35)*(SUMPRODUCT(DCF!$D$7:$H$7,DCF!$D$19:$H$19)+DCF!$H$7*(1+'Assumptions'!$C$45)*(1-'Assumptions'!$C$45/Assumptions!$C$74)/('Assumptions'!$C$60-'Assumptions'!$C$45)*DCF!$H$19)+SUMPRODUCT(DCF!$D$17:$H$17,DCF!$D$19:$H$19)-((DCF!$D$7*$B15-DCF!$C$16)*DCF!$D$19+$B15*SUMPRODUCT(DCF!$E$7:$H$7-DCF!$D$7:$G$7,DCF!$E$19:$H$19)))/'Assumptions'!$C$56</f>
        <v/>
      </c>
      <c r="F15" s="13">
        <f>DCF!$C$37+((F$13-Assumptions!$C$72)*(1-'Assumptions'!$C$35)*(SUMPRODUCT(DCF!$D$7:$H$7,DCF!$D$19:$H$19)+DCF!$H$7*(1+'Assumptions'!$C$45)*(1-'Assumptions'!$C$45/Assumptions!$C$74)/('Assumptions'!$C$60-'Assumptions'!$C$45)*DCF!$H$19)+SUMPRODUCT(DCF!$D$17:$H$17,DCF!$D$19:$H$19)-((DCF!$D$7*$B15-DCF!$C$16)*DCF!$D$19+$B15*SUMPRODUCT(DCF!$E$7:$H$7-DCF!$D$7:$G$7,DCF!$E$19:$H$19)))/'Assumptions'!$C$56</f>
        <v/>
      </c>
      <c r="G15" s="13">
        <f>DCF!$C$37+((G$13-Assumptions!$C$72)*(1-'Assumptions'!$C$35)*(SUMPRODUCT(DCF!$D$7:$H$7,DCF!$D$19:$H$19)+DCF!$H$7*(1+'Assumptions'!$C$45)*(1-'Assumptions'!$C$45/Assumptions!$C$74)/('Assumptions'!$C$60-'Assumptions'!$C$45)*DCF!$H$19)+SUMPRODUCT(DCF!$D$17:$H$17,DCF!$D$19:$H$19)-((DCF!$D$7*$B15-DCF!$C$16)*DCF!$D$19+$B15*SUMPRODUCT(DCF!$E$7:$H$7-DCF!$D$7:$G$7,DCF!$E$19:$H$19)))/'Assumptions'!$C$56</f>
        <v/>
      </c>
    </row>
    <row r="16">
      <c r="B16" s="10">
        <f>Assumptions!$C$73+0</f>
        <v/>
      </c>
      <c r="C16" s="13">
        <f>DCF!$C$37+((C$13-Assumptions!$C$72)*(1-'Assumptions'!$C$35)*(SUMPRODUCT(DCF!$D$7:$H$7,DCF!$D$19:$H$19)+DCF!$H$7*(1+'Assumptions'!$C$45)*(1-'Assumptions'!$C$45/Assumptions!$C$74)/('Assumptions'!$C$60-'Assumptions'!$C$45)*DCF!$H$19)+SUMPRODUCT(DCF!$D$17:$H$17,DCF!$D$19:$H$19)-((DCF!$D$7*$B16-DCF!$C$16)*DCF!$D$19+$B16*SUMPRODUCT(DCF!$E$7:$H$7-DCF!$D$7:$G$7,DCF!$E$19:$H$19)))/'Assumptions'!$C$56</f>
        <v/>
      </c>
      <c r="D16" s="13">
        <f>DCF!$C$37+((D$13-Assumptions!$C$72)*(1-'Assumptions'!$C$35)*(SUMPRODUCT(DCF!$D$7:$H$7,DCF!$D$19:$H$19)+DCF!$H$7*(1+'Assumptions'!$C$45)*(1-'Assumptions'!$C$45/Assumptions!$C$74)/('Assumptions'!$C$60-'Assumptions'!$C$45)*DCF!$H$19)+SUMPRODUCT(DCF!$D$17:$H$17,DCF!$D$19:$H$19)-((DCF!$D$7*$B16-DCF!$C$16)*DCF!$D$19+$B16*SUMPRODUCT(DCF!$E$7:$H$7-DCF!$D$7:$G$7,DCF!$E$19:$H$19)))/'Assumptions'!$C$56</f>
        <v/>
      </c>
      <c r="E16" s="11">
        <f>DCF!$C$37+((E$13-Assumptions!$C$72)*(1-'Assumptions'!$C$35)*(SUMPRODUCT(DCF!$D$7:$H$7,DCF!$D$19:$H$19)+DCF!$H$7*(1+'Assumptions'!$C$45)*(1-'Assumptions'!$C$45/Assumptions!$C$74)/('Assumptions'!$C$60-'Assumptions'!$C$45)*DCF!$H$19)+SUMPRODUCT(DCF!$D$17:$H$17,DCF!$D$19:$H$19)-((DCF!$D$7*$B16-DCF!$C$16)*DCF!$D$19+$B16*SUMPRODUCT(DCF!$E$7:$H$7-DCF!$D$7:$G$7,DCF!$E$19:$H$19)))/'Assumptions'!$C$56</f>
        <v/>
      </c>
      <c r="F16" s="13">
        <f>DCF!$C$37+((F$13-Assumptions!$C$72)*(1-'Assumptions'!$C$35)*(SUMPRODUCT(DCF!$D$7:$H$7,DCF!$D$19:$H$19)+DCF!$H$7*(1+'Assumptions'!$C$45)*(1-'Assumptions'!$C$45/Assumptions!$C$74)/('Assumptions'!$C$60-'Assumptions'!$C$45)*DCF!$H$19)+SUMPRODUCT(DCF!$D$17:$H$17,DCF!$D$19:$H$19)-((DCF!$D$7*$B16-DCF!$C$16)*DCF!$D$19+$B16*SUMPRODUCT(DCF!$E$7:$H$7-DCF!$D$7:$G$7,DCF!$E$19:$H$19)))/'Assumptions'!$C$56</f>
        <v/>
      </c>
      <c r="G16" s="13">
        <f>DCF!$C$37+((G$13-Assumptions!$C$72)*(1-'Assumptions'!$C$35)*(SUMPRODUCT(DCF!$D$7:$H$7,DCF!$D$19:$H$19)+DCF!$H$7*(1+'Assumptions'!$C$45)*(1-'Assumptions'!$C$45/Assumptions!$C$74)/('Assumptions'!$C$60-'Assumptions'!$C$45)*DCF!$H$19)+SUMPRODUCT(DCF!$D$17:$H$17,DCF!$D$19:$H$19)-((DCF!$D$7*$B16-DCF!$C$16)*DCF!$D$19+$B16*SUMPRODUCT(DCF!$E$7:$H$7-DCF!$D$7:$G$7,DCF!$E$19:$H$19)))/'Assumptions'!$C$56</f>
        <v/>
      </c>
    </row>
    <row r="17">
      <c r="B17" s="10">
        <f>Assumptions!$C$73+0.03</f>
        <v/>
      </c>
      <c r="C17" s="13">
        <f>DCF!$C$37+((C$13-Assumptions!$C$72)*(1-'Assumptions'!$C$35)*(SUMPRODUCT(DCF!$D$7:$H$7,DCF!$D$19:$H$19)+DCF!$H$7*(1+'Assumptions'!$C$45)*(1-'Assumptions'!$C$45/Assumptions!$C$74)/('Assumptions'!$C$60-'Assumptions'!$C$45)*DCF!$H$19)+SUMPRODUCT(DCF!$D$17:$H$17,DCF!$D$19:$H$19)-((DCF!$D$7*$B17-DCF!$C$16)*DCF!$D$19+$B17*SUMPRODUCT(DCF!$E$7:$H$7-DCF!$D$7:$G$7,DCF!$E$19:$H$19)))/'Assumptions'!$C$56</f>
        <v/>
      </c>
      <c r="D17" s="13">
        <f>DCF!$C$37+((D$13-Assumptions!$C$72)*(1-'Assumptions'!$C$35)*(SUMPRODUCT(DCF!$D$7:$H$7,DCF!$D$19:$H$19)+DCF!$H$7*(1+'Assumptions'!$C$45)*(1-'Assumptions'!$C$45/Assumptions!$C$74)/('Assumptions'!$C$60-'Assumptions'!$C$45)*DCF!$H$19)+SUMPRODUCT(DCF!$D$17:$H$17,DCF!$D$19:$H$19)-((DCF!$D$7*$B17-DCF!$C$16)*DCF!$D$19+$B17*SUMPRODUCT(DCF!$E$7:$H$7-DCF!$D$7:$G$7,DCF!$E$19:$H$19)))/'Assumptions'!$C$56</f>
        <v/>
      </c>
      <c r="E17" s="13">
        <f>DCF!$C$37+((E$13-Assumptions!$C$72)*(1-'Assumptions'!$C$35)*(SUMPRODUCT(DCF!$D$7:$H$7,DCF!$D$19:$H$19)+DCF!$H$7*(1+'Assumptions'!$C$45)*(1-'Assumptions'!$C$45/Assumptions!$C$74)/('Assumptions'!$C$60-'Assumptions'!$C$45)*DCF!$H$19)+SUMPRODUCT(DCF!$D$17:$H$17,DCF!$D$19:$H$19)-((DCF!$D$7*$B17-DCF!$C$16)*DCF!$D$19+$B17*SUMPRODUCT(DCF!$E$7:$H$7-DCF!$D$7:$G$7,DCF!$E$19:$H$19)))/'Assumptions'!$C$56</f>
        <v/>
      </c>
      <c r="F17" s="13">
        <f>DCF!$C$37+((F$13-Assumptions!$C$72)*(1-'Assumptions'!$C$35)*(SUMPRODUCT(DCF!$D$7:$H$7,DCF!$D$19:$H$19)+DCF!$H$7*(1+'Assumptions'!$C$45)*(1-'Assumptions'!$C$45/Assumptions!$C$74)/('Assumptions'!$C$60-'Assumptions'!$C$45)*DCF!$H$19)+SUMPRODUCT(DCF!$D$17:$H$17,DCF!$D$19:$H$19)-((DCF!$D$7*$B17-DCF!$C$16)*DCF!$D$19+$B17*SUMPRODUCT(DCF!$E$7:$H$7-DCF!$D$7:$G$7,DCF!$E$19:$H$19)))/'Assumptions'!$C$56</f>
        <v/>
      </c>
      <c r="G17" s="13">
        <f>DCF!$C$37+((G$13-Assumptions!$C$72)*(1-'Assumptions'!$C$35)*(SUMPRODUCT(DCF!$D$7:$H$7,DCF!$D$19:$H$19)+DCF!$H$7*(1+'Assumptions'!$C$45)*(1-'Assumptions'!$C$45/Assumptions!$C$74)/('Assumptions'!$C$60-'Assumptions'!$C$45)*DCF!$H$19)+SUMPRODUCT(DCF!$D$17:$H$17,DCF!$D$19:$H$19)-((DCF!$D$7*$B17-DCF!$C$16)*DCF!$D$19+$B17*SUMPRODUCT(DCF!$E$7:$H$7-DCF!$D$7:$G$7,DCF!$E$19:$H$19)))/'Assumptions'!$C$56</f>
        <v/>
      </c>
    </row>
    <row r="18">
      <c r="B18" s="10">
        <f>Assumptions!$C$73+0.06</f>
        <v/>
      </c>
      <c r="C18" s="13">
        <f>DCF!$C$37+((C$13-Assumptions!$C$72)*(1-'Assumptions'!$C$35)*(SUMPRODUCT(DCF!$D$7:$H$7,DCF!$D$19:$H$19)+DCF!$H$7*(1+'Assumptions'!$C$45)*(1-'Assumptions'!$C$45/Assumptions!$C$74)/('Assumptions'!$C$60-'Assumptions'!$C$45)*DCF!$H$19)+SUMPRODUCT(DCF!$D$17:$H$17,DCF!$D$19:$H$19)-((DCF!$D$7*$B18-DCF!$C$16)*DCF!$D$19+$B18*SUMPRODUCT(DCF!$E$7:$H$7-DCF!$D$7:$G$7,DCF!$E$19:$H$19)))/'Assumptions'!$C$56</f>
        <v/>
      </c>
      <c r="D18" s="13">
        <f>DCF!$C$37+((D$13-Assumptions!$C$72)*(1-'Assumptions'!$C$35)*(SUMPRODUCT(DCF!$D$7:$H$7,DCF!$D$19:$H$19)+DCF!$H$7*(1+'Assumptions'!$C$45)*(1-'Assumptions'!$C$45/Assumptions!$C$74)/('Assumptions'!$C$60-'Assumptions'!$C$45)*DCF!$H$19)+SUMPRODUCT(DCF!$D$17:$H$17,DCF!$D$19:$H$19)-((DCF!$D$7*$B18-DCF!$C$16)*DCF!$D$19+$B18*SUMPRODUCT(DCF!$E$7:$H$7-DCF!$D$7:$G$7,DCF!$E$19:$H$19)))/'Assumptions'!$C$56</f>
        <v/>
      </c>
      <c r="E18" s="13">
        <f>DCF!$C$37+((E$13-Assumptions!$C$72)*(1-'Assumptions'!$C$35)*(SUMPRODUCT(DCF!$D$7:$H$7,DCF!$D$19:$H$19)+DCF!$H$7*(1+'Assumptions'!$C$45)*(1-'Assumptions'!$C$45/Assumptions!$C$74)/('Assumptions'!$C$60-'Assumptions'!$C$45)*DCF!$H$19)+SUMPRODUCT(DCF!$D$17:$H$17,DCF!$D$19:$H$19)-((DCF!$D$7*$B18-DCF!$C$16)*DCF!$D$19+$B18*SUMPRODUCT(DCF!$E$7:$H$7-DCF!$D$7:$G$7,DCF!$E$19:$H$19)))/'Assumptions'!$C$56</f>
        <v/>
      </c>
      <c r="F18" s="13">
        <f>DCF!$C$37+((F$13-Assumptions!$C$72)*(1-'Assumptions'!$C$35)*(SUMPRODUCT(DCF!$D$7:$H$7,DCF!$D$19:$H$19)+DCF!$H$7*(1+'Assumptions'!$C$45)*(1-'Assumptions'!$C$45/Assumptions!$C$74)/('Assumptions'!$C$60-'Assumptions'!$C$45)*DCF!$H$19)+SUMPRODUCT(DCF!$D$17:$H$17,DCF!$D$19:$H$19)-((DCF!$D$7*$B18-DCF!$C$16)*DCF!$D$19+$B18*SUMPRODUCT(DCF!$E$7:$H$7-DCF!$D$7:$G$7,DCF!$E$19:$H$19)))/'Assumptions'!$C$56</f>
        <v/>
      </c>
      <c r="G18" s="13">
        <f>DCF!$C$37+((G$13-Assumptions!$C$72)*(1-'Assumptions'!$C$35)*(SUMPRODUCT(DCF!$D$7:$H$7,DCF!$D$19:$H$19)+DCF!$H$7*(1+'Assumptions'!$C$45)*(1-'Assumptions'!$C$45/Assumptions!$C$74)/('Assumptions'!$C$60-'Assumptions'!$C$45)*DCF!$H$19)+SUMPRODUCT(DCF!$D$17:$H$17,DCF!$D$19:$H$19)-((DCF!$D$7*$B18-DCF!$C$16)*DCF!$D$19+$B18*SUMPRODUCT(DCF!$E$7:$H$7-DCF!$D$7:$G$7,DCF!$E$19:$H$19)))/'Assumptions'!$C$56</f>
        <v/>
      </c>
    </row>
    <row r="20">
      <c r="B20" s="17" t="inlineStr">
        <is>
          <t>Centre cells (yellow) equal the DCF value. Working capital is often the dominant lever - if Grid 2 moves value more than Grid 1, say so in the note.</t>
        </is>
      </c>
    </row>
  </sheetData>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2026-10-29T13:28:53Z</dcterms:created>
  <dcterms:modified xmlns:dcterms="http://purl.org/dc/terms/" xmlns:xsi="http://www.w3.org/2001/XMLSchema-instance" xsi:type="dcterms:W3CDTF">2026-10-29T13:28:53Z</dcterms:modified>
</cp:coreProperties>
</file>