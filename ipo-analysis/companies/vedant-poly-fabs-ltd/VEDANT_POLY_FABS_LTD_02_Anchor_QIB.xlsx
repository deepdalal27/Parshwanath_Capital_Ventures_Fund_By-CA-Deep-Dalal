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Allocation" sheetId="3" state="visible" r:id="rId3"/>
    <sheet xmlns:r="http://schemas.openxmlformats.org/officeDocument/2006/relationships" name="Overhang" sheetId="4" state="visible" r:id="rId4"/>
  </sheets>
  <definedNames/>
  <calcPr calcId="124519" fullCalcOnLoad="1"/>
</workbook>
</file>

<file path=xl/styles.xml><?xml version="1.0" encoding="utf-8"?>
<styleSheet xmlns="http://schemas.openxmlformats.org/spreadsheetml/2006/main">
  <numFmts count="4">
    <numFmt numFmtId="164" formatCode="0.00&quot;x&quot;"/>
    <numFmt numFmtId="165" formatCode="dd-mmm-yyyy"/>
    <numFmt numFmtId="166" formatCode="yyyy-mm-dd"/>
    <numFmt numFmtId="167"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5"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5" fontId="6" fillId="0" borderId="1" pivotButton="0" quotePrefix="0" xfId="0"/>
    <xf numFmtId="167"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Vedant Poly Fabs Limited</t>
        </is>
      </c>
      <c r="D5" s="9" t="inlineStr"/>
      <c r="E5" s="10" t="inlineStr">
        <is>
          <t>Name as per RHP</t>
        </is>
      </c>
    </row>
    <row r="6">
      <c r="B6" s="7" t="inlineStr">
        <is>
          <t>Platform</t>
        </is>
      </c>
      <c r="C6" s="8" t="inlineStr">
        <is>
          <t>SME</t>
        </is>
      </c>
      <c r="D6" s="9" t="inlineStr"/>
      <c r="E6" s="10" t="inlineStr">
        <is>
          <t>Mainboard / SME</t>
        </is>
      </c>
    </row>
    <row r="7">
      <c r="B7" s="7" t="inlineStr">
        <is>
          <t>Final offer price</t>
        </is>
      </c>
      <c r="C7" s="11" t="n">
        <v>94</v>
      </c>
      <c r="D7" s="9" t="inlineStr">
        <is>
          <t>Rs/share</t>
        </is>
      </c>
    </row>
    <row r="8">
      <c r="B8" s="7" t="inlineStr">
        <is>
          <t>Anchor allocation price</t>
        </is>
      </c>
      <c r="C8" s="11" t="n">
        <v>94</v>
      </c>
      <c r="D8" s="9" t="inlineStr">
        <is>
          <t>Rs/share</t>
        </is>
      </c>
      <c r="E8" s="10" t="inlineStr">
        <is>
          <t>If offer price &gt; anchor price, anchors pay the difference; if lower, no refund</t>
        </is>
      </c>
    </row>
    <row r="9">
      <c r="B9" s="7" t="inlineStr">
        <is>
          <t>Total issue size</t>
        </is>
      </c>
      <c r="C9" s="11" t="n">
        <v>56.68</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c r="D31" s="9" t="inlineStr"/>
      <c r="E31" s="10" t="inlineStr">
        <is>
          <t>One working day before issue opens</t>
        </is>
      </c>
    </row>
    <row r="32">
      <c r="B32" s="7" t="inlineStr">
        <is>
          <t>Allotment date (basis of allotment)</t>
        </is>
      </c>
      <c r="C32" s="16" t="n">
        <v>46331</v>
      </c>
      <c r="D32" s="9" t="inlineStr"/>
      <c r="E32" s="10" t="inlineStr">
        <is>
          <t>Lock-in runs from this date</t>
        </is>
      </c>
    </row>
    <row r="33">
      <c r="B33" s="7" t="inlineStr">
        <is>
          <t>Listing date</t>
        </is>
      </c>
      <c r="C33" s="16" t="n">
        <v>46335</v>
      </c>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v>201.51</v>
      </c>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Promoters' minimum contribution (20% of post-issue capital)</t>
        </is>
      </c>
      <c r="C11" s="11" t="n">
        <v>40.3</v>
      </c>
      <c r="D11" s="15" t="n">
        <v>1095</v>
      </c>
      <c r="E11" s="24">
        <f>'Inputs'!$C$32+D11</f>
        <v/>
      </c>
      <c r="F11" s="19">
        <f>$C$5+SUMIF($E$9:$E$15,"&lt;"&amp;E11,$C$9:$C$15)</f>
        <v/>
      </c>
      <c r="G11" s="22">
        <f>IF(F11&gt;0,C11/F11,0)</f>
        <v/>
      </c>
      <c r="H11" s="19">
        <f>SUMIF($E$9:$E$15,"&lt;="&amp;E11,$C$9:$C$15)</f>
        <v/>
      </c>
      <c r="I11" s="20">
        <f>IF(C11=0,"-",IF(G11&gt;0.25,"RED: large cliff vs float",IF(G11&gt;0.1,"AMBER: watch","OK")))</f>
        <v/>
      </c>
      <c r="J11" s="10" t="inlineStr">
        <is>
          <t>SEBI ICDR (SME): three years</t>
        </is>
      </c>
    </row>
    <row r="12">
      <c r="B12" s="18" t="inlineStr">
        <is>
          <t>Promoter holding above the minimum contribution (half)</t>
        </is>
      </c>
      <c r="C12" s="11" t="n">
        <v>49</v>
      </c>
      <c r="D12" s="15" t="n">
        <v>365</v>
      </c>
      <c r="E12" s="24">
        <f>'Inputs'!$C$32+D12</f>
        <v/>
      </c>
      <c r="F12" s="19">
        <f>$C$5+SUMIF($E$9:$E$15,"&lt;"&amp;E12,$C$9:$C$15)</f>
        <v/>
      </c>
      <c r="G12" s="22">
        <f>IF(F12&gt;0,C12/F12,0)</f>
        <v/>
      </c>
      <c r="H12" s="19">
        <f>SUMIF($E$9:$E$15,"&lt;="&amp;E12,$C$9:$C$15)</f>
        <v/>
      </c>
      <c r="I12" s="20">
        <f>IF(C12=0,"-",IF(G12&gt;0.25,"RED: large cliff vs float",IF(G12&gt;0.1,"AMBER: watch","OK")))</f>
        <v/>
      </c>
      <c r="J12" s="10" t="inlineStr">
        <is>
          <t>SEBI ICDR (SME): 50% after one year (estimate of promoter holding after OFS)</t>
        </is>
      </c>
    </row>
    <row r="13">
      <c r="B13" s="18" t="inlineStr">
        <is>
          <t>Promoter holding above the minimum contribution (other half)</t>
        </is>
      </c>
      <c r="C13" s="11" t="n">
        <v>49</v>
      </c>
      <c r="D13" s="15" t="n">
        <v>730</v>
      </c>
      <c r="E13" s="24">
        <f>'Inputs'!$C$32+D13</f>
        <v/>
      </c>
      <c r="F13" s="19">
        <f>$C$5+SUMIF($E$9:$E$15,"&lt;"&amp;E13,$C$9:$C$15)</f>
        <v/>
      </c>
      <c r="G13" s="22">
        <f>IF(F13&gt;0,C13/F13,0)</f>
        <v/>
      </c>
      <c r="H13" s="19">
        <f>SUMIF($E$9:$E$15,"&lt;="&amp;E13,$C$9:$C$15)</f>
        <v/>
      </c>
      <c r="I13" s="20">
        <f>IF(C13=0,"-",IF(G13&gt;0.25,"RED: large cliff vs float",IF(G13&gt;0.1,"AMBER: watch","OK")))</f>
        <v/>
      </c>
      <c r="J13" s="10" t="inlineStr">
        <is>
          <t>SEBI ICDR (SME): 50% after two years</t>
        </is>
      </c>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2026-10-29T13:28:53Z</dcterms:created>
  <dcterms:modified xmlns:dcterms="http://purl.org/dc/terms/" xmlns:xsi="http://www.w3.org/2001/XMLSchema-instance" xsi:type="dcterms:W3CDTF">2026-10-29T13:28:53Z</dcterms:modified>
</cp:coreProperties>
</file>