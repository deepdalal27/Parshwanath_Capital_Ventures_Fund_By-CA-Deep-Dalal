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Inputs" sheetId="2" state="visible" r:id="rId2"/>
    <sheet xmlns:r="http://schemas.openxmlformats.org/officeDocument/2006/relationships" name="Allocation" sheetId="3" state="visible" r:id="rId3"/>
    <sheet xmlns:r="http://schemas.openxmlformats.org/officeDocument/2006/relationships" name="Overhang" sheetId="4" state="visible" r:id="rId4"/>
  </sheets>
  <definedNames/>
  <calcPr calcId="124519" fullCalcOnLoad="1"/>
</workbook>
</file>

<file path=xl/styles.xml><?xml version="1.0" encoding="utf-8"?>
<styleSheet xmlns="http://schemas.openxmlformats.org/spreadsheetml/2006/main">
  <numFmts count="4">
    <numFmt numFmtId="164" formatCode="0.00&quot;x&quot;"/>
    <numFmt numFmtId="165" formatCode="yyyy-mm-dd"/>
    <numFmt numFmtId="166" formatCode="dd-mmm-yyyy"/>
    <numFmt numFmtId="167" formatCode="0.0"/>
  </numFmts>
  <fonts count="9">
    <font>
      <name val="Calibri"/>
      <family val="2"/>
      <color theme="1"/>
      <sz val="11"/>
      <scheme val="minor"/>
    </font>
    <font>
      <name val="Calibri"/>
      <b val="1"/>
      <color rgb="001F3864"/>
      <sz val="14"/>
    </font>
    <font>
      <name val="Calibri"/>
      <i val="1"/>
      <color rgb="00595959"/>
      <sz val="9"/>
    </font>
    <font>
      <name val="Calibri"/>
      <b val="1"/>
      <sz val="10"/>
    </font>
    <font>
      <name val="Calibri"/>
      <b val="1"/>
      <color rgb="00FFFFFF"/>
      <sz val="10"/>
    </font>
    <font>
      <b val="1"/>
      <color rgb="001F3864"/>
      <sz val="11"/>
    </font>
    <font>
      <name val="Calibri"/>
      <color rgb="00000000"/>
      <sz val="10"/>
    </font>
    <font>
      <name val="Calibri"/>
      <color rgb="000000FF"/>
      <sz val="10"/>
    </font>
    <font>
      <name val="Calibri"/>
      <color rgb="00008000"/>
      <sz val="10"/>
    </font>
  </fonts>
  <fills count="5">
    <fill>
      <patternFill/>
    </fill>
    <fill>
      <patternFill patternType="gray125"/>
    </fill>
    <fill>
      <patternFill patternType="solid">
        <fgColor rgb="001F3864"/>
      </patternFill>
    </fill>
    <fill>
      <patternFill patternType="solid">
        <fgColor rgb="00EAF1FB"/>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9">
    <xf numFmtId="0" fontId="0" fillId="0" borderId="0" pivotButton="0" quotePrefix="0" xfId="0"/>
    <xf numFmtId="0" fontId="1" fillId="0" borderId="0" applyAlignment="1" pivotButton="0" quotePrefix="0" xfId="0">
      <alignment vertical="center" indent="6"/>
    </xf>
    <xf numFmtId="0" fontId="2" fillId="0" borderId="0" applyAlignment="1" pivotButton="0" quotePrefix="0" xfId="0">
      <alignment vertical="center" indent="6"/>
    </xf>
    <xf numFmtId="0" fontId="3" fillId="0" borderId="0" pivotButton="0" quotePrefix="0" xfId="0"/>
    <xf numFmtId="0" fontId="5" fillId="0" borderId="0" pivotButton="0" quotePrefix="0" xfId="0"/>
    <xf numFmtId="0" fontId="2" fillId="0" borderId="0" applyAlignment="1" pivotButton="0" quotePrefix="0" xfId="0">
      <alignment vertical="top" wrapText="1"/>
    </xf>
    <xf numFmtId="0" fontId="4" fillId="2" borderId="1" applyAlignment="1" pivotButton="0" quotePrefix="0" xfId="0">
      <alignment vertical="center" wrapText="1"/>
    </xf>
    <xf numFmtId="0" fontId="6" fillId="0" borderId="0" pivotButton="0" quotePrefix="0" xfId="0"/>
    <xf numFmtId="0" fontId="7" fillId="3" borderId="1" pivotButton="0" quotePrefix="0" xfId="0"/>
    <xf numFmtId="0" fontId="2" fillId="0" borderId="0" pivotButton="0" quotePrefix="0" xfId="0"/>
    <xf numFmtId="0" fontId="2" fillId="0" borderId="0" applyAlignment="1" pivotButton="0" quotePrefix="0" xfId="0">
      <alignment vertical="top"/>
    </xf>
    <xf numFmtId="4" fontId="7" fillId="3" borderId="1" pivotButton="0" quotePrefix="0" xfId="0"/>
    <xf numFmtId="10" fontId="7" fillId="3" borderId="1" pivotButton="0" quotePrefix="0" xfId="0"/>
    <xf numFmtId="4" fontId="7" fillId="4" borderId="1" pivotButton="0" quotePrefix="0" xfId="0"/>
    <xf numFmtId="164" fontId="7" fillId="3" borderId="1" pivotButton="0" quotePrefix="0" xfId="0"/>
    <xf numFmtId="3" fontId="7" fillId="3" borderId="1" pivotButton="0" quotePrefix="0" xfId="0"/>
    <xf numFmtId="166" fontId="7" fillId="3" borderId="1" pivotButton="0" quotePrefix="0" xfId="0"/>
    <xf numFmtId="0" fontId="7" fillId="4" borderId="1" pivotButton="0" quotePrefix="0" xfId="0"/>
    <xf numFmtId="0" fontId="3" fillId="0" borderId="1" pivotButton="0" quotePrefix="0" xfId="0"/>
    <xf numFmtId="4" fontId="6" fillId="0" borderId="1" pivotButton="0" quotePrefix="0" xfId="0"/>
    <xf numFmtId="0" fontId="6" fillId="0" borderId="1" pivotButton="0" quotePrefix="0" xfId="0"/>
    <xf numFmtId="4" fontId="6" fillId="4" borderId="1" pivotButton="0" quotePrefix="0" xfId="0"/>
    <xf numFmtId="10" fontId="6" fillId="0" borderId="1" pivotButton="0" quotePrefix="0" xfId="0"/>
    <xf numFmtId="3" fontId="6" fillId="0" borderId="1" pivotButton="0" quotePrefix="0" xfId="0"/>
    <xf numFmtId="166" fontId="6" fillId="0" borderId="1" pivotButton="0" quotePrefix="0" xfId="0"/>
    <xf numFmtId="167" fontId="6" fillId="0" borderId="1" pivotButton="0" quotePrefix="0" xfId="0"/>
    <xf numFmtId="0" fontId="6" fillId="4" borderId="1" pivotButton="0" quotePrefix="0" xfId="0"/>
    <xf numFmtId="4" fontId="8" fillId="0" borderId="1" pivotButton="0" quotePrefix="0" xfId="0"/>
    <xf numFmtId="3" fontId="8" fillId="0" borderId="1" pivotButton="0" quotePrefix="0" xfId="0"/>
  </cellXfs>
  <cellStyles count="1">
    <cellStyle name="Normal" xfId="0" builtinId="0" hidden="0"/>
  </cellStyles>
  <dxfs count="3">
    <dxf>
      <fill>
        <patternFill patternType="solid">
          <fgColor rgb="00F8CBAD"/>
        </patternFill>
      </fill>
    </dxf>
    <dxf>
      <fill>
        <patternFill patternType="solid">
          <fgColor rgb="00FFE699"/>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1"/>
    <pageSetUpPr/>
  </sheetPr>
  <dimension ref="A1:A31"/>
  <sheetViews>
    <sheetView showGridLines="0" workbookViewId="0">
      <selection activeCell="A1" sqref="A1"/>
    </sheetView>
  </sheetViews>
  <sheetFormatPr baseColWidth="8" defaultRowHeight="15"/>
  <cols>
    <col width="110" customWidth="1" min="1" max="1"/>
  </cols>
  <sheetData>
    <row r="1" ht="24" customHeight="1">
      <c r="A1" s="1" t="inlineStr">
        <is>
          <t>Anchor &amp; QIB Economics Calculator</t>
        </is>
      </c>
    </row>
    <row r="2" ht="20" customHeight="1">
      <c r="A2" s="2" t="inlineStr">
        <is>
          <t>Parshwanath Capital Ventures Fund | SEBI Registered CAT III AIF | IN/AIF3/25-26/2108 | Fund Manager: CA Deep Dalal | Sponsor: Jignesh Shah</t>
        </is>
      </c>
    </row>
    <row r="4">
      <c r="A4" t="inlineStr">
        <is>
          <t>Purpose: size the anchor pool, estimate our discretionary allotment, model exits at the 30/90-day</t>
        </is>
      </c>
    </row>
    <row r="5">
      <c r="A5" t="inlineStr">
        <is>
          <t>lock-in expiries, compare with a non-anchor QIB bid sold on listing day, and map supply overhang.</t>
        </is>
      </c>
    </row>
    <row r="6">
      <c r="A6" t="inlineStr"/>
    </row>
    <row r="7">
      <c r="A7" t="inlineStr">
        <is>
          <t>How to use: 1) Fill every blue cell on 'Inputs' from the RHP (cite the page in column F).</t>
        </is>
      </c>
    </row>
    <row r="8">
      <c r="A8" t="inlineStr">
        <is>
          <t xml:space="preserve">            2) Read 'Allocation' (pool, allotment, scenario returns, exit-route check).</t>
        </is>
      </c>
    </row>
    <row r="9">
      <c r="A9" t="inlineStr">
        <is>
          <t xml:space="preserve">            3) Fill 'Overhang' rows from the RHP capital-structure / lock-in table.</t>
        </is>
      </c>
    </row>
    <row r="10">
      <c r="A10" t="inlineStr"/>
    </row>
    <row r="11">
      <c r="A11" t="inlineStr">
        <is>
          <t>Colours: blue = input | black = formula | green = link from another sheet | yellow = key cell.</t>
        </is>
      </c>
    </row>
    <row r="12">
      <c r="A12" t="inlineStr">
        <is>
          <t>Units: Rs crore unless stated. Share counts on 'Overhang' are in lakh.</t>
        </is>
      </c>
    </row>
    <row r="13">
      <c r="A13" t="inlineStr"/>
    </row>
    <row r="14">
      <c r="A14" t="inlineStr">
        <is>
          <t>Anchor allocation is DISCRETIONARY (issuer + BRLM). A favourable call is not an allotment.</t>
        </is>
      </c>
    </row>
    <row r="15">
      <c r="A15" t="inlineStr">
        <is>
          <t>Anchor shares are locked in: 50% for 30 days and 50% for 90 days from allotment.</t>
        </is>
      </c>
    </row>
    <row r="16">
      <c r="A16" t="inlineStr">
        <is>
          <t>Returns are pre-tax. Tax character for a CAT III AIF depends on the PPM; refer out.</t>
        </is>
      </c>
    </row>
    <row r="17">
      <c r="A17" t="inlineStr"/>
    </row>
    <row r="18">
      <c r="A18" s="3" t="inlineStr">
        <is>
          <t>Issuer build: figures from the offer document (page cites in notes). BLANK cell = declared data gap.</t>
        </is>
      </c>
    </row>
    <row r="19">
      <c r="A19" t="inlineStr"/>
    </row>
    <row r="20">
      <c r="A20"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row r="22">
      <c r="A22" s="4" t="inlineStr">
        <is>
          <t>Disclaimer and disclosures</t>
        </is>
      </c>
    </row>
    <row r="23" ht="45" customHeight="1">
      <c r="A23" s="5" t="inlineStr">
        <is>
          <t>This material is published by Parshwanath Capital Ventures Fund, a Category III Alternative Investment Fund registered with the Securities and Exchange Board of India (SEBI) under the SEBI (Alternative Investment Funds) Regulations, 2012, Registration No. IN/AIF3/25-26/2108. Fund Manager: CA Deep Dalal. Sponsor: Jignesh Shah.</t>
        </is>
      </c>
    </row>
    <row r="24" ht="60" customHeight="1">
      <c r="A24" s="5" t="inlineStr">
        <is>
          <t>This material is for information and educational purposes only. It does not constitute an offer, invitation, solicitation or recommendation to buy, sell, subscribe to or bid for any security, and it is not investment advice within the meaning of the SEBI (Investment Advisers) Regulations, 2013 or a research report within the meaning of the SEBI (Research Analysts) Regulations, 2014. Calls such as 'Subscribe', 'Neutral', 'Avoid' or 'Screen only' record the Fund's internal analytical view of an offer document and are not a recommendation to any reader.</t>
        </is>
      </c>
    </row>
    <row r="25" ht="45" customHeight="1">
      <c r="A25" s="5" t="inlineStr">
        <is>
          <t>Units of the Fund are offered only on a private placement basis to eligible investors through the Fund's Private Placement Memorandum, in accordance with the SEBI (Alternative Investment Funds) Regulations, 2012. Nothing in this material is, or should be construed as, a solicitation of investment in the Fund.</t>
        </is>
      </c>
    </row>
    <row r="26" ht="75" customHeight="1">
      <c r="A26" s="5" t="inlineStr">
        <is>
          <t>The analysis is based on offer documents (DRHP / RHP / prospectus) filed with SEBI and the stock exchanges and on other publicly available information. Figures from sources other than the offer document are identified as such and have not been independently verified. Valuation models, scenarios and projections are illustrative, depend on stated assumptions, and are not forecasts or assurances of future performance. No representation or warranty is given as to accuracy or completeness, and the Fund, its Manager, Sponsor, employees and associates accept no liability for any loss arising from the use of this material.</t>
        </is>
      </c>
    </row>
    <row r="27" ht="45" customHeight="1">
      <c r="A27" s="5" t="inlineStr">
        <is>
          <t>Disclosure of interest: the Fund, its Manager, Sponsor and their associates may apply for, bid in (including as Anchor Investor or Qualified Institutional Buyer), hold, buy or sell securities of any issuer discussed, before or after publication, and may act in a manner inconsistent with the views expressed here.</t>
        </is>
      </c>
    </row>
    <row r="28" ht="45" customHeight="1">
      <c r="A28" s="5" t="inlineStr">
        <is>
          <t>Investors should rely on their own examination of the offer document, including its risk factors, and consult their own financial, legal and tax advisers before making any investment decision. Past performance, including of any issuer or lead manager, is not indicative of future results.</t>
        </is>
      </c>
    </row>
    <row r="29" ht="15" customHeight="1">
      <c r="A29" s="5" t="inlineStr">
        <is>
          <t>Investments in securities market are subject to market risks. Read all the related documents carefully before investing.</t>
        </is>
      </c>
    </row>
    <row r="30" ht="15" customHeight="1">
      <c r="A30" s="5" t="inlineStr">
        <is>
          <t>Registration granted by SEBI in no way guarantees performance of the Fund or its Manager or provides any assurance of returns to investors.</t>
        </is>
      </c>
    </row>
    <row r="31" ht="15" customHeight="1">
      <c r="A31" s="5" t="inlineStr">
        <is>
          <t>Investor grievances: fundmanager@parshwanath.in. Complaints may also be lodged with SEBI through SCORES at https://scores.sebi.gov.in.</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46"/>
  <sheetViews>
    <sheetView showGridLines="0" workbookViewId="0">
      <selection activeCell="A1" sqref="A1"/>
    </sheetView>
  </sheetViews>
  <sheetFormatPr baseColWidth="8" defaultRowHeight="15"/>
  <cols>
    <col width="2" customWidth="1" min="1" max="1"/>
    <col width="44" customWidth="1" min="2" max="2"/>
    <col width="26" customWidth="1" min="3" max="3"/>
    <col width="12" customWidth="1" min="4" max="4"/>
    <col width="14" customWidth="1" min="5" max="5"/>
    <col width="70" customWidth="1" min="6" max="6"/>
  </cols>
  <sheetData>
    <row r="1" ht="24" customHeight="1">
      <c r="A1" s="1" t="inlineStr">
        <is>
          <t>Inputs - from the offer document (blue cells only)</t>
        </is>
      </c>
    </row>
    <row r="2" ht="20" customHeight="1">
      <c r="A2" s="2" t="inlineStr">
        <is>
          <t>Parshwanath Capital Ventures Fund | SEBI Registered CAT III AIF | IN/AIF3/25-26/2108 | Fund Manager: CA Deep Dalal | Sponsor: Jignesh Shah</t>
        </is>
      </c>
    </row>
    <row r="3">
      <c r="A3" s="6" t="inlineStr"/>
      <c r="B3" s="6" t="inlineStr">
        <is>
          <t>Item</t>
        </is>
      </c>
      <c r="C3" s="6" t="inlineStr">
        <is>
          <t>Value</t>
        </is>
      </c>
      <c r="D3" s="6" t="inlineStr">
        <is>
          <t>Unit</t>
        </is>
      </c>
      <c r="E3" s="6" t="inlineStr">
        <is>
          <t>Hint / page cite</t>
        </is>
      </c>
    </row>
    <row r="4">
      <c r="B4" s="4" t="inlineStr">
        <is>
          <t>Issue</t>
        </is>
      </c>
    </row>
    <row r="5">
      <c r="B5" s="7" t="inlineStr">
        <is>
          <t>Issuer</t>
        </is>
      </c>
      <c r="C5" s="8" t="inlineStr">
        <is>
          <t>BLS Polymers Limited</t>
        </is>
      </c>
      <c r="D5" s="9" t="inlineStr"/>
      <c r="E5" s="10" t="inlineStr">
        <is>
          <t>Name as per RHP</t>
        </is>
      </c>
    </row>
    <row r="6">
      <c r="B6" s="7" t="inlineStr">
        <is>
          <t>Platform</t>
        </is>
      </c>
      <c r="C6" s="8" t="inlineStr">
        <is>
          <t>Mainboard</t>
        </is>
      </c>
      <c r="D6" s="9" t="inlineStr"/>
      <c r="E6" s="10" t="inlineStr">
        <is>
          <t>Mainboard / SME</t>
        </is>
      </c>
    </row>
    <row r="7">
      <c r="B7" s="7" t="inlineStr">
        <is>
          <t>Final offer price</t>
        </is>
      </c>
      <c r="C7" s="11" t="n">
        <v>150</v>
      </c>
      <c r="D7" s="9" t="inlineStr">
        <is>
          <t>Rs/share</t>
        </is>
      </c>
    </row>
    <row r="8">
      <c r="B8" s="7" t="inlineStr">
        <is>
          <t>Anchor allocation price</t>
        </is>
      </c>
      <c r="C8" s="11" t="n">
        <v>150</v>
      </c>
      <c r="D8" s="9" t="inlineStr">
        <is>
          <t>Rs/share</t>
        </is>
      </c>
      <c r="E8" s="10" t="inlineStr">
        <is>
          <t>If offer price &gt; anchor price, anchors pay the difference; if lower, no refund</t>
        </is>
      </c>
    </row>
    <row r="9">
      <c r="B9" s="7" t="inlineStr">
        <is>
          <t>Total issue size</t>
        </is>
      </c>
      <c r="C9" s="11" t="n">
        <v>255</v>
      </c>
      <c r="D9" s="9" t="inlineStr">
        <is>
          <t>Rs cr</t>
        </is>
      </c>
      <c r="E9" s="10" t="inlineStr">
        <is>
          <t>Fresh + OFS</t>
        </is>
      </c>
    </row>
    <row r="10">
      <c r="B10" s="7" t="inlineStr">
        <is>
          <t>Employee reservation</t>
        </is>
      </c>
      <c r="C10" s="11" t="n">
        <v>0</v>
      </c>
      <c r="D10" s="9" t="inlineStr">
        <is>
          <t>Rs cr</t>
        </is>
      </c>
    </row>
    <row r="11">
      <c r="B11" s="7" t="inlineStr">
        <is>
          <t>Shareholder reservation</t>
        </is>
      </c>
      <c r="C11" s="11" t="n">
        <v>0</v>
      </c>
      <c r="D11" s="9" t="inlineStr">
        <is>
          <t>Rs cr</t>
        </is>
      </c>
    </row>
    <row r="13">
      <c r="B13" s="4" t="inlineStr">
        <is>
          <t>Net-offer split (confirm from 'Offer Structure' chapter)</t>
        </is>
      </c>
    </row>
    <row r="14">
      <c r="B14" s="7" t="inlineStr">
        <is>
          <t>QIB portion</t>
        </is>
      </c>
      <c r="C14" s="12" t="n">
        <v>0.5</v>
      </c>
      <c r="D14" s="9" t="inlineStr"/>
      <c r="E14" s="10" t="inlineStr">
        <is>
          <t>Reg 6(1): not more than 50%; Reg 6(2): at least 75%</t>
        </is>
      </c>
    </row>
    <row r="15">
      <c r="B15" s="7" t="inlineStr">
        <is>
          <t>Non-institutional portion</t>
        </is>
      </c>
      <c r="C15" s="12" t="n">
        <v>0.15</v>
      </c>
      <c r="D15" s="9" t="inlineStr"/>
    </row>
    <row r="16">
      <c r="B16" s="7" t="inlineStr">
        <is>
          <t>Retail portion</t>
        </is>
      </c>
      <c r="C16" s="12" t="n">
        <v>0.35</v>
      </c>
      <c r="D16" s="9" t="inlineStr"/>
    </row>
    <row r="17">
      <c r="B17" s="7" t="inlineStr">
        <is>
          <t>Anchor share of QIB portion</t>
        </is>
      </c>
      <c r="C17" s="12" t="n">
        <v>0.6</v>
      </c>
      <c r="D17" s="9" t="inlineStr"/>
      <c r="E17" s="10" t="inlineStr">
        <is>
          <t>Maximum 60% of the QIB portion</t>
        </is>
      </c>
    </row>
    <row r="18">
      <c r="B18" s="7" t="inlineStr">
        <is>
          <t>Anchor reserved: domestic MFs</t>
        </is>
      </c>
      <c r="C18" s="12" t="n">
        <v>0.3333</v>
      </c>
      <c r="D18" s="9" t="inlineStr"/>
      <c r="E18" s="10" t="inlineStr">
        <is>
          <t>One-third of anchor portion</t>
        </is>
      </c>
    </row>
    <row r="19">
      <c r="B19" s="7" t="inlineStr">
        <is>
          <t>Anchor reserved: insurers &amp; pension funds</t>
        </is>
      </c>
      <c r="C19" s="12" t="n">
        <v>0.0667</v>
      </c>
      <c r="D19" s="9" t="inlineStr"/>
      <c r="E19" s="10" t="inlineStr">
        <is>
          <t>Per current ICDR amendment - CONFIRM split from the offer document</t>
        </is>
      </c>
    </row>
    <row r="20">
      <c r="B20" s="7" t="inlineStr">
        <is>
          <t>Net QIB reserved: MFs</t>
        </is>
      </c>
      <c r="C20" s="12" t="n">
        <v>0.05</v>
      </c>
      <c r="D20" s="9" t="inlineStr"/>
      <c r="E20" s="10" t="inlineStr">
        <is>
          <t>5% of net QIB portion</t>
        </is>
      </c>
    </row>
    <row r="22">
      <c r="B22" s="4" t="inlineStr">
        <is>
          <t>Our bid</t>
        </is>
      </c>
    </row>
    <row r="23">
      <c r="B23" s="7" t="inlineStr">
        <is>
          <t>Minimum anchor application</t>
        </is>
      </c>
      <c r="C23" s="11" t="n">
        <v>10</v>
      </c>
      <c r="D23" s="9" t="inlineStr">
        <is>
          <t>Rs cr</t>
        </is>
      </c>
      <c r="E23" s="10" t="inlineStr">
        <is>
          <t>Mainboard Rs 10 cr - confirm platform limit in the offer document</t>
        </is>
      </c>
    </row>
    <row r="24">
      <c r="B24" s="7" t="inlineStr">
        <is>
          <t>Our anchor bid</t>
        </is>
      </c>
      <c r="C24" s="13" t="n">
        <v>25</v>
      </c>
      <c r="D24" s="9" t="inlineStr">
        <is>
          <t>Rs cr</t>
        </is>
      </c>
    </row>
    <row r="25">
      <c r="B25" s="7" t="inlineStr">
        <is>
          <t>Assumed allotment as % of bid</t>
        </is>
      </c>
      <c r="C25" s="12" t="n">
        <v>0.6</v>
      </c>
      <c r="D25" s="9" t="inlineStr"/>
      <c r="E25" s="10" t="inlineStr">
        <is>
          <t>Discretionary - assumption, not entitlement</t>
        </is>
      </c>
    </row>
    <row r="26">
      <c r="B26" s="7" t="inlineStr">
        <is>
          <t>Alternative: non-anchor QIB (ASBA) bid</t>
        </is>
      </c>
      <c r="C26" s="11" t="n">
        <v>25</v>
      </c>
      <c r="D26" s="9" t="inlineStr">
        <is>
          <t>Rs cr</t>
        </is>
      </c>
    </row>
    <row r="27">
      <c r="B27" s="7" t="inlineStr">
        <is>
          <t>Expected QIB (ex-anchor) subscription</t>
        </is>
      </c>
      <c r="C27" s="14" t="n">
        <v>50</v>
      </c>
      <c r="D27" s="9" t="inlineStr"/>
      <c r="E27" s="10" t="inlineStr">
        <is>
          <t>Allotment roughly proportionate: bid / subscription</t>
        </is>
      </c>
    </row>
    <row r="28">
      <c r="B28" s="7" t="inlineStr">
        <is>
          <t>Days ASBA funds blocked</t>
        </is>
      </c>
      <c r="C28" s="15" t="n">
        <v>6</v>
      </c>
      <c r="D28" s="9" t="inlineStr">
        <is>
          <t>days</t>
        </is>
      </c>
      <c r="E28" s="10" t="inlineStr">
        <is>
          <t>Issue open to listing</t>
        </is>
      </c>
    </row>
    <row r="30">
      <c r="B30" s="4" t="inlineStr">
        <is>
          <t>Dates and costs</t>
        </is>
      </c>
    </row>
    <row r="31">
      <c r="B31" s="7" t="inlineStr">
        <is>
          <t>Anchor bid / pay-in date</t>
        </is>
      </c>
      <c r="C31" s="16" t="n">
        <v>46321</v>
      </c>
      <c r="D31" s="9" t="inlineStr"/>
      <c r="E31" s="10" t="inlineStr">
        <is>
          <t>One working day before issue opens</t>
        </is>
      </c>
    </row>
    <row r="32">
      <c r="B32" s="7" t="inlineStr">
        <is>
          <t>Allotment date (basis of allotment)</t>
        </is>
      </c>
      <c r="C32" s="16" t="n">
        <v>46325</v>
      </c>
      <c r="D32" s="9" t="inlineStr"/>
      <c r="E32" s="10" t="inlineStr">
        <is>
          <t>Lock-in runs from this date</t>
        </is>
      </c>
    </row>
    <row r="33">
      <c r="B33" s="7" t="inlineStr">
        <is>
          <t>Listing date</t>
        </is>
      </c>
      <c r="C33" s="16" t="n">
        <v>46329</v>
      </c>
      <c r="D33" s="9" t="inlineStr"/>
    </row>
    <row r="34">
      <c r="B34" s="7" t="inlineStr">
        <is>
          <t>Lock-in tranche 1 share</t>
        </is>
      </c>
      <c r="C34" s="12" t="n">
        <v>0.5</v>
      </c>
      <c r="D34" s="9" t="inlineStr"/>
    </row>
    <row r="35">
      <c r="B35" s="7" t="inlineStr">
        <is>
          <t>Lock-in tranche 1 days</t>
        </is>
      </c>
      <c r="C35" s="15" t="n">
        <v>30</v>
      </c>
      <c r="D35" s="9" t="inlineStr">
        <is>
          <t>days</t>
        </is>
      </c>
    </row>
    <row r="36">
      <c r="B36" s="7" t="inlineStr">
        <is>
          <t>Lock-in tranche 2 days</t>
        </is>
      </c>
      <c r="C36" s="15" t="n">
        <v>90</v>
      </c>
      <c r="D36" s="9" t="inlineStr">
        <is>
          <t>days</t>
        </is>
      </c>
    </row>
    <row r="37">
      <c r="B37" s="7" t="inlineStr">
        <is>
          <t>Cost of funds / opportunity cost</t>
        </is>
      </c>
      <c r="C37" s="12" t="n">
        <v>0.09</v>
      </c>
      <c r="D37" s="9" t="inlineStr">
        <is>
          <t>p.a.</t>
        </is>
      </c>
      <c r="E37" s="10" t="inlineStr">
        <is>
          <t>Anchor money is PAID, not blocked</t>
        </is>
      </c>
    </row>
    <row r="38">
      <c r="B38" s="7" t="inlineStr">
        <is>
          <t>Exit transaction cost (brokerage+STT+other)</t>
        </is>
      </c>
      <c r="C38" s="12" t="n">
        <v>0.0025</v>
      </c>
      <c r="D38" s="9" t="inlineStr"/>
      <c r="E38" s="10" t="inlineStr">
        <is>
          <t>On sale value</t>
        </is>
      </c>
    </row>
    <row r="39">
      <c r="B39" s="7" t="inlineStr">
        <is>
          <t>Planned exit route</t>
        </is>
      </c>
      <c r="C39" s="17" t="inlineStr">
        <is>
          <t>Lock-in expiry (30/90 days)</t>
        </is>
      </c>
      <c r="D39" s="9" t="inlineStr"/>
    </row>
    <row r="41">
      <c r="B41" s="3" t="inlineStr">
        <is>
          <t>Price path vs offer price (illustrative)</t>
        </is>
      </c>
    </row>
    <row r="42">
      <c r="B42" s="6" t="inlineStr">
        <is>
          <t>Scenario</t>
        </is>
      </c>
      <c r="C42" s="6" t="inlineStr">
        <is>
          <t>Listing day</t>
        </is>
      </c>
      <c r="D42" s="6" t="inlineStr">
        <is>
          <t>Day 30</t>
        </is>
      </c>
      <c r="E42" s="6" t="inlineStr">
        <is>
          <t>Day 90</t>
        </is>
      </c>
    </row>
    <row r="43">
      <c r="B43" s="18" t="inlineStr">
        <is>
          <t>Bear</t>
        </is>
      </c>
      <c r="C43" s="12" t="n"/>
      <c r="D43" s="12" t="n"/>
      <c r="E43" s="12" t="n"/>
    </row>
    <row r="44">
      <c r="B44" s="18" t="inlineStr">
        <is>
          <t>Neutral</t>
        </is>
      </c>
      <c r="C44" s="12" t="n"/>
      <c r="D44" s="12" t="n"/>
      <c r="E44" s="12" t="n"/>
    </row>
    <row r="45">
      <c r="B45" s="18" t="inlineStr">
        <is>
          <t>Bull</t>
        </is>
      </c>
      <c r="C45" s="12" t="n"/>
      <c r="D45" s="12" t="n"/>
      <c r="E45" s="12" t="n"/>
    </row>
    <row r="46">
      <c r="B46" s="10" t="inlineStr">
        <is>
          <t>Grey market premium is market colour only - never use it to move fair value.</t>
        </is>
      </c>
    </row>
  </sheetData>
  <dataValidations count="2">
    <dataValidation sqref="C6" showDropDown="0" showInputMessage="0" showErrorMessage="0" allowBlank="1" type="list">
      <formula1>"Mainboard,SME"</formula1>
    </dataValidation>
    <dataValidation sqref="C39" showDropDown="0" showInputMessage="0" showErrorMessage="0" allowBlank="1" type="list">
      <formula1>"Listing day,Lock-in expiry (30/90 days),2-3 year hold"</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63"/>
  <sheetViews>
    <sheetView showGridLines="0" workbookViewId="0">
      <selection activeCell="A1" sqref="A1"/>
    </sheetView>
  </sheetViews>
  <sheetFormatPr baseColWidth="8" defaultRowHeight="15"/>
  <cols>
    <col width="2" customWidth="1" min="1" max="1"/>
    <col width="50" customWidth="1" min="2" max="2"/>
    <col width="30" customWidth="1" min="3" max="3"/>
    <col width="16" customWidth="1" min="4" max="4"/>
    <col width="16" customWidth="1" min="5" max="5"/>
    <col width="50" customWidth="1" min="6" max="6"/>
  </cols>
  <sheetData>
    <row r="1" ht="24" customHeight="1">
      <c r="A1" s="1" t="inlineStr">
        <is>
          <t>Anchor pool, our allotment, and exit returns</t>
        </is>
      </c>
    </row>
    <row r="2" ht="20" customHeight="1">
      <c r="A2" s="2" t="inlineStr">
        <is>
          <t>Parshwanath Capital Ventures Fund | SEBI Registered CAT III AIF | IN/AIF3/25-26/2108 | Fund Manager: CA Deep Dalal | Sponsor: Jignesh Shah</t>
        </is>
      </c>
    </row>
    <row r="4">
      <c r="B4" s="4" t="inlineStr">
        <is>
          <t>Issue structure (Rs cr)</t>
        </is>
      </c>
    </row>
    <row r="5">
      <c r="B5" s="7" t="inlineStr">
        <is>
          <t>Net offer</t>
        </is>
      </c>
      <c r="C5" s="19">
        <f>'Inputs'!$C$9-'Inputs'!$C$10-'Inputs'!$C$11</f>
        <v/>
      </c>
      <c r="D5" s="9" t="inlineStr"/>
    </row>
    <row r="6">
      <c r="B6" s="7" t="inlineStr">
        <is>
          <t>QIB portion</t>
        </is>
      </c>
      <c r="C6" s="19">
        <f>'Allocation'!$C$5*'Inputs'!$C$14</f>
        <v/>
      </c>
      <c r="D6" s="9" t="inlineStr"/>
    </row>
    <row r="7">
      <c r="B7" s="7" t="inlineStr">
        <is>
          <t>Non-institutional portion</t>
        </is>
      </c>
      <c r="C7" s="19">
        <f>'Allocation'!$C$5*'Inputs'!$C$15</f>
        <v/>
      </c>
      <c r="D7" s="9" t="inlineStr"/>
    </row>
    <row r="8">
      <c r="B8" s="7" t="inlineStr">
        <is>
          <t>Retail portion</t>
        </is>
      </c>
      <c r="C8" s="19">
        <f>'Allocation'!$C$5*'Inputs'!$C$16</f>
        <v/>
      </c>
      <c r="D8" s="9" t="inlineStr"/>
    </row>
    <row r="9">
      <c r="B9" s="7" t="inlineStr">
        <is>
          <t>Split check (must total 100%)</t>
        </is>
      </c>
      <c r="C9" s="20">
        <f>IF(ABS('Inputs'!$C$14+'Inputs'!$C$15+'Inputs'!$C$16-1)&lt;0.0001,"OK","RED: portions do not total 100%")</f>
        <v/>
      </c>
      <c r="D9" s="9" t="inlineStr"/>
    </row>
    <row r="10">
      <c r="B10" s="7" t="inlineStr">
        <is>
          <t>Anchor portion</t>
        </is>
      </c>
      <c r="C10" s="21">
        <f>'Allocation'!$C$6*'Inputs'!$C$17</f>
        <v/>
      </c>
      <c r="D10" s="9" t="inlineStr"/>
    </row>
    <row r="11">
      <c r="B11" s="7" t="inlineStr">
        <is>
          <t>Anchor cap check</t>
        </is>
      </c>
      <c r="C11" s="20">
        <f>IF('Inputs'!$C$17&lt;=0.6,"OK","RED: anchor above 60% of QIB")</f>
        <v/>
      </c>
      <c r="D11" s="9" t="inlineStr"/>
    </row>
    <row r="12">
      <c r="B12" s="7" t="inlineStr">
        <is>
          <t xml:space="preserve">  of which reserved for domestic MFs</t>
        </is>
      </c>
      <c r="C12" s="19">
        <f>'Allocation'!$C$10*'Inputs'!$C$18</f>
        <v/>
      </c>
      <c r="D12" s="9" t="inlineStr"/>
    </row>
    <row r="13">
      <c r="B13" s="7" t="inlineStr">
        <is>
          <t xml:space="preserve">  of which reserved for insurers &amp; pension funds</t>
        </is>
      </c>
      <c r="C13" s="19">
        <f>'Allocation'!$C$10*'Inputs'!$C$19</f>
        <v/>
      </c>
      <c r="D13" s="9" t="inlineStr"/>
    </row>
    <row r="14">
      <c r="B14" s="7" t="inlineStr">
        <is>
          <t xml:space="preserve">  open anchor pool (where an AIF competes)</t>
        </is>
      </c>
      <c r="C14" s="21">
        <f>'Allocation'!$C$10-'Allocation'!$C$12-'Allocation'!$C$13</f>
        <v/>
      </c>
      <c r="D14" s="9" t="inlineStr"/>
    </row>
    <row r="15">
      <c r="B15" s="7" t="inlineStr">
        <is>
          <t>Net QIB (after anchor)</t>
        </is>
      </c>
      <c r="C15" s="19">
        <f>'Allocation'!$C$6-'Allocation'!$C$10</f>
        <v/>
      </c>
      <c r="D15" s="9" t="inlineStr"/>
    </row>
    <row r="16">
      <c r="B16" s="7" t="inlineStr">
        <is>
          <t xml:space="preserve">  of which reserved for MFs</t>
        </is>
      </c>
      <c r="C16" s="19">
        <f>'Allocation'!$C$15*'Inputs'!$C$20</f>
        <v/>
      </c>
      <c r="D16" s="9" t="inlineStr"/>
    </row>
    <row r="17">
      <c r="B17" s="7" t="inlineStr">
        <is>
          <t>Anchor book size (lakh shares)</t>
        </is>
      </c>
      <c r="C17" s="19">
        <f>'Allocation'!$C$10*100/'Inputs'!$C$8</f>
        <v/>
      </c>
      <c r="D17" s="9" t="inlineStr"/>
    </row>
    <row r="19">
      <c r="B19" s="4" t="inlineStr">
        <is>
          <t>Our anchor allotment</t>
        </is>
      </c>
    </row>
    <row r="20">
      <c r="B20" s="7" t="inlineStr">
        <is>
          <t>Our bid as % of open anchor pool</t>
        </is>
      </c>
      <c r="C20" s="22">
        <f>'Inputs'!$C$24/'Allocation'!$C$14</f>
        <v/>
      </c>
      <c r="D20" s="9" t="inlineStr"/>
    </row>
    <row r="21">
      <c r="B21" s="7" t="inlineStr">
        <is>
          <t>Bid size check</t>
        </is>
      </c>
      <c r="C21" s="20">
        <f>IF('Inputs'!$C$24&lt;'Inputs'!$C$23,"RED: below minimum anchor application",IF('Inputs'!$C$24&gt;'Allocation'!$C$14,"RED: bid exceeds open anchor pool","OK"))</f>
        <v/>
      </c>
      <c r="D21" s="9" t="inlineStr"/>
    </row>
    <row r="22">
      <c r="B22" s="7" t="inlineStr">
        <is>
          <t>Assumed allotment (Rs cr)</t>
        </is>
      </c>
      <c r="C22" s="19">
        <f>MIN('Inputs'!$C$24*'Inputs'!$C$25,'Allocation'!$C$14)</f>
        <v/>
      </c>
      <c r="D22" s="9" t="inlineStr"/>
    </row>
    <row r="23">
      <c r="B23" s="7" t="inlineStr">
        <is>
          <t>Effective cost per share</t>
        </is>
      </c>
      <c r="C23" s="19">
        <f>MAX('Inputs'!$C$8,'Inputs'!$C$7)</f>
        <v/>
      </c>
      <c r="D23" s="9" t="inlineStr">
        <is>
          <t>Rs</t>
        </is>
      </c>
      <c r="E23" s="10" t="inlineStr">
        <is>
          <t>Anchors top up if offer price exceeds anchor price</t>
        </is>
      </c>
    </row>
    <row r="24">
      <c r="B24" s="7" t="inlineStr">
        <is>
          <t>Shares allotted</t>
        </is>
      </c>
      <c r="C24" s="23">
        <f>ROUNDDOWN('Allocation'!$C$22*10^7/'Inputs'!$C$8,0)</f>
        <v/>
      </c>
      <c r="D24" s="9" t="inlineStr"/>
    </row>
    <row r="25">
      <c r="B25" s="7" t="inlineStr">
        <is>
          <t>Total cost (Rs cr)</t>
        </is>
      </c>
      <c r="C25" s="19">
        <f>'Allocation'!$C$24*'Allocation'!$C$23/10^7</f>
        <v/>
      </c>
      <c r="D25" s="9" t="inlineStr"/>
    </row>
    <row r="26">
      <c r="B26" s="7" t="inlineStr">
        <is>
          <t>Tranche 1 shares</t>
        </is>
      </c>
      <c r="C26" s="23">
        <f>ROUNDDOWN('Allocation'!$C$24*'Inputs'!$C$34,0)</f>
        <v/>
      </c>
      <c r="D26" s="9" t="inlineStr"/>
    </row>
    <row r="27">
      <c r="B27" s="7" t="inlineStr">
        <is>
          <t>Tranche 2 shares</t>
        </is>
      </c>
      <c r="C27" s="23">
        <f>'Allocation'!$C$24-'Allocation'!$C$26</f>
        <v/>
      </c>
      <c r="D27" s="9" t="inlineStr"/>
    </row>
    <row r="28">
      <c r="B28" s="7" t="inlineStr">
        <is>
          <t>Tranche 1 free date</t>
        </is>
      </c>
      <c r="C28" s="24">
        <f>'Inputs'!$C$32+'Inputs'!$C$35</f>
        <v/>
      </c>
      <c r="D28" s="9" t="inlineStr"/>
    </row>
    <row r="29">
      <c r="B29" s="7" t="inlineStr">
        <is>
          <t>Tranche 2 free date</t>
        </is>
      </c>
      <c r="C29" s="24">
        <f>'Inputs'!$C$32+'Inputs'!$C$36</f>
        <v/>
      </c>
      <c r="D29" s="9" t="inlineStr"/>
    </row>
    <row r="30">
      <c r="B30" s="7" t="inlineStr">
        <is>
          <t>Days funds deployed - tranche 1</t>
        </is>
      </c>
      <c r="C30" s="23">
        <f>'Allocation'!$C$28-'Inputs'!$C$31</f>
        <v/>
      </c>
      <c r="D30" s="9" t="inlineStr"/>
    </row>
    <row r="31">
      <c r="B31" s="7" t="inlineStr">
        <is>
          <t>Days funds deployed - tranche 2</t>
        </is>
      </c>
      <c r="C31" s="23">
        <f>'Allocation'!$C$29-'Inputs'!$C$31</f>
        <v/>
      </c>
      <c r="D31" s="9" t="inlineStr"/>
    </row>
    <row r="32">
      <c r="B32" s="7" t="inlineStr">
        <is>
          <t>Funding cost (Rs cr)</t>
        </is>
      </c>
      <c r="C32" s="19">
        <f>('Allocation'!$C$26*'Allocation'!$C$30+'Allocation'!$C$27*'Allocation'!$C$31)*'Allocation'!$C$23/10^7*'Inputs'!$C$37/365</f>
        <v/>
      </c>
      <c r="D32" s="9" t="inlineStr"/>
    </row>
    <row r="33">
      <c r="B33" s="7" t="inlineStr">
        <is>
          <t>Weighted days deployed</t>
        </is>
      </c>
      <c r="C33" s="25">
        <f>('Allocation'!$C$26*'Allocation'!$C$30+'Allocation'!$C$27*'Allocation'!$C$31)/'Allocation'!$C$24</f>
        <v/>
      </c>
      <c r="D33" s="9" t="inlineStr"/>
    </row>
    <row r="35">
      <c r="B35" s="4" t="inlineStr">
        <is>
          <t>Exit-route consistency</t>
        </is>
      </c>
    </row>
    <row r="36">
      <c r="B36" s="7" t="inlineStr">
        <is>
          <t>Anchor bid vs planned exit</t>
        </is>
      </c>
      <c r="C36" s="26">
        <f>IF('Inputs'!$C$39="Listing day","INCONSISTENT: anchor shares are locked in ("&amp;TEXT('Inputs'!$C$34,"0%")&amp;" for "&amp;'Inputs'!$C$35&amp;" days, rest for "&amp;'Inputs'!$C$36&amp;" days) and cannot be sold on listing day. Bid as non-anchor QIB or change the exit plan.","OK: exit plan is compatible with anchor lock-in")</f>
        <v/>
      </c>
      <c r="D36" s="9" t="inlineStr"/>
    </row>
    <row r="37">
      <c r="B37" s="7" t="inlineStr">
        <is>
          <t>Allotment note</t>
        </is>
      </c>
      <c r="C37" s="20" t="inlineStr">
        <is>
          <t>Anchor allotment is discretionary; there is no proportionate entitlement.</t>
        </is>
      </c>
      <c r="D37" s="9" t="inlineStr"/>
    </row>
    <row r="39">
      <c r="B39" s="3" t="inlineStr">
        <is>
          <t>Scenario returns - ANCHOR route (exit at lock-in expiry)</t>
        </is>
      </c>
    </row>
    <row r="40">
      <c r="B40" s="6" t="inlineStr">
        <is>
          <t>Line</t>
        </is>
      </c>
      <c r="C40" s="6" t="inlineStr">
        <is>
          <t>Bear</t>
        </is>
      </c>
      <c r="D40" s="6" t="inlineStr">
        <is>
          <t>Neutral</t>
        </is>
      </c>
      <c r="E40" s="6" t="inlineStr">
        <is>
          <t>Bull</t>
        </is>
      </c>
    </row>
    <row r="41">
      <c r="B41" t="inlineStr">
        <is>
          <t>Listing-day price (Rs)</t>
        </is>
      </c>
      <c r="C41" s="19">
        <f>'Inputs'!$C$7*(1+Inputs!$C$43)</f>
        <v/>
      </c>
      <c r="D41" s="19">
        <f>'Inputs'!$C$7*(1+Inputs!$C$44)</f>
        <v/>
      </c>
      <c r="E41" s="19">
        <f>'Inputs'!$C$7*(1+Inputs!$C$45)</f>
        <v/>
      </c>
    </row>
    <row r="42">
      <c r="B42" t="inlineStr">
        <is>
          <t>Day-30 price (Rs)</t>
        </is>
      </c>
      <c r="C42" s="19">
        <f>'Inputs'!$C$7*(1+Inputs!$D$43)</f>
        <v/>
      </c>
      <c r="D42" s="19">
        <f>'Inputs'!$C$7*(1+Inputs!$D$44)</f>
        <v/>
      </c>
      <c r="E42" s="19">
        <f>'Inputs'!$C$7*(1+Inputs!$D$45)</f>
        <v/>
      </c>
    </row>
    <row r="43">
      <c r="B43" t="inlineStr">
        <is>
          <t>Day-90 price (Rs)</t>
        </is>
      </c>
      <c r="C43" s="19">
        <f>'Inputs'!$C$7*(1+Inputs!$E$43)</f>
        <v/>
      </c>
      <c r="D43" s="19">
        <f>'Inputs'!$C$7*(1+Inputs!$E$44)</f>
        <v/>
      </c>
      <c r="E43" s="19">
        <f>'Inputs'!$C$7*(1+Inputs!$E$45)</f>
        <v/>
      </c>
    </row>
    <row r="44">
      <c r="B44" t="inlineStr">
        <is>
          <t>Mark-to-market on listing day, locked (Rs cr)</t>
        </is>
      </c>
      <c r="C44" s="19">
        <f>'Allocation'!$C$24*C41/10^7-'Allocation'!$C$25</f>
        <v/>
      </c>
      <c r="D44" s="19">
        <f>'Allocation'!$C$24*D41/10^7-'Allocation'!$C$25</f>
        <v/>
      </c>
      <c r="E44" s="19">
        <f>'Allocation'!$C$24*E41/10^7-'Allocation'!$C$25</f>
        <v/>
      </c>
    </row>
    <row r="45">
      <c r="B45" t="inlineStr">
        <is>
          <t>Tranche 1 sale value (Rs cr)</t>
        </is>
      </c>
      <c r="C45" s="19">
        <f>'Allocation'!$C$26*C42/10^7</f>
        <v/>
      </c>
      <c r="D45" s="19">
        <f>'Allocation'!$C$26*D42/10^7</f>
        <v/>
      </c>
      <c r="E45" s="19">
        <f>'Allocation'!$C$26*E42/10^7</f>
        <v/>
      </c>
    </row>
    <row r="46">
      <c r="B46" t="inlineStr">
        <is>
          <t>Tranche 2 sale value (Rs cr)</t>
        </is>
      </c>
      <c r="C46" s="19">
        <f>'Allocation'!$C$27*C43/10^7</f>
        <v/>
      </c>
      <c r="D46" s="19">
        <f>'Allocation'!$C$27*D43/10^7</f>
        <v/>
      </c>
      <c r="E46" s="19">
        <f>'Allocation'!$C$27*E43/10^7</f>
        <v/>
      </c>
    </row>
    <row r="47">
      <c r="B47" t="inlineStr">
        <is>
          <t>Gross sale value (Rs cr)</t>
        </is>
      </c>
      <c r="C47" s="19">
        <f>C45+C46</f>
        <v/>
      </c>
      <c r="D47" s="19">
        <f>D45+D46</f>
        <v/>
      </c>
      <c r="E47" s="19">
        <f>E45+E46</f>
        <v/>
      </c>
    </row>
    <row r="48">
      <c r="B48" t="inlineStr">
        <is>
          <t>Transaction cost (Rs cr)</t>
        </is>
      </c>
      <c r="C48" s="19">
        <f>C47*'Inputs'!$C$38</f>
        <v/>
      </c>
      <c r="D48" s="19">
        <f>D47*'Inputs'!$C$38</f>
        <v/>
      </c>
      <c r="E48" s="19">
        <f>E47*'Inputs'!$C$38</f>
        <v/>
      </c>
    </row>
    <row r="49">
      <c r="B49" t="inlineStr">
        <is>
          <t>Net P&amp;L after funding cost (Rs cr)</t>
        </is>
      </c>
      <c r="C49" s="19">
        <f>C47-C48-'Allocation'!$C$25-'Allocation'!$C$32</f>
        <v/>
      </c>
      <c r="D49" s="19">
        <f>D47-D48-'Allocation'!$C$25-'Allocation'!$C$32</f>
        <v/>
      </c>
      <c r="E49" s="19">
        <f>E47-E48-'Allocation'!$C$25-'Allocation'!$C$32</f>
        <v/>
      </c>
    </row>
    <row r="50">
      <c r="B50" t="inlineStr">
        <is>
          <t>Net return on cost</t>
        </is>
      </c>
      <c r="C50" s="22">
        <f>C49/'Allocation'!$C$25</f>
        <v/>
      </c>
      <c r="D50" s="22">
        <f>D49/'Allocation'!$C$25</f>
        <v/>
      </c>
      <c r="E50" s="22">
        <f>E49/'Allocation'!$C$25</f>
        <v/>
      </c>
    </row>
    <row r="51">
      <c r="B51" t="inlineStr">
        <is>
          <t>Annualised (simple, 365-day)</t>
        </is>
      </c>
      <c r="C51" s="22">
        <f>C50*365/'Allocation'!$C$33</f>
        <v/>
      </c>
      <c r="D51" s="22">
        <f>D50*365/'Allocation'!$C$33</f>
        <v/>
      </c>
      <c r="E51" s="22">
        <f>E50*365/'Allocation'!$C$33</f>
        <v/>
      </c>
    </row>
    <row r="53">
      <c r="B53" s="3" t="inlineStr">
        <is>
          <t>Comparison - NON-ANCHOR QIB route (ASBA, sold on listing day)</t>
        </is>
      </c>
    </row>
    <row r="54">
      <c r="B54" s="6" t="inlineStr">
        <is>
          <t>Line</t>
        </is>
      </c>
      <c r="C54" s="6" t="inlineStr">
        <is>
          <t>Bear</t>
        </is>
      </c>
      <c r="D54" s="6" t="inlineStr">
        <is>
          <t>Neutral</t>
        </is>
      </c>
      <c r="E54" s="6" t="inlineStr">
        <is>
          <t>Bull</t>
        </is>
      </c>
    </row>
    <row r="55">
      <c r="B55" t="inlineStr">
        <is>
          <t>Shares allotted (proportionate estimate)</t>
        </is>
      </c>
      <c r="C55" s="23">
        <f>ROUNDDOWN(MIN('Inputs'!$C$26,'Inputs'!$C$26/'Inputs'!$C$27)*10^7/'Inputs'!$C$7,0)</f>
        <v/>
      </c>
      <c r="D55" s="23">
        <f>ROUNDDOWN(MIN('Inputs'!$C$26,'Inputs'!$C$26/'Inputs'!$C$27)*10^7/'Inputs'!$C$7,0)</f>
        <v/>
      </c>
      <c r="E55" s="23">
        <f>ROUNDDOWN(MIN('Inputs'!$C$26,'Inputs'!$C$26/'Inputs'!$C$27)*10^7/'Inputs'!$C$7,0)</f>
        <v/>
      </c>
    </row>
    <row r="56">
      <c r="B56" t="inlineStr">
        <is>
          <t>Cost (Rs cr)</t>
        </is>
      </c>
      <c r="C56" s="19">
        <f>C55*'Inputs'!$C$7/10^7</f>
        <v/>
      </c>
      <c r="D56" s="19">
        <f>D55*'Inputs'!$C$7/10^7</f>
        <v/>
      </c>
      <c r="E56" s="19">
        <f>E55*'Inputs'!$C$7/10^7</f>
        <v/>
      </c>
    </row>
    <row r="57">
      <c r="B57" t="inlineStr">
        <is>
          <t>Listing-day sale value (Rs cr)</t>
        </is>
      </c>
      <c r="C57" s="19">
        <f>C55*C41/10^7</f>
        <v/>
      </c>
      <c r="D57" s="19">
        <f>D55*D41/10^7</f>
        <v/>
      </c>
      <c r="E57" s="19">
        <f>E55*E41/10^7</f>
        <v/>
      </c>
    </row>
    <row r="58">
      <c r="B58" t="inlineStr">
        <is>
          <t>Opportunity cost of blocked funds (Rs cr)</t>
        </is>
      </c>
      <c r="C58" s="19">
        <f>'Inputs'!$C$26*'Inputs'!$C$37*'Inputs'!$C$28/365</f>
        <v/>
      </c>
      <c r="D58" s="19">
        <f>'Inputs'!$C$26*'Inputs'!$C$37*'Inputs'!$C$28/365</f>
        <v/>
      </c>
      <c r="E58" s="19">
        <f>'Inputs'!$C$26*'Inputs'!$C$37*'Inputs'!$C$28/365</f>
        <v/>
      </c>
    </row>
    <row r="59">
      <c r="B59" t="inlineStr">
        <is>
          <t>Net P&amp;L (Rs cr)</t>
        </is>
      </c>
      <c r="C59" s="19">
        <f>C57*(1-'Inputs'!$C$38)-C56-C58</f>
        <v/>
      </c>
      <c r="D59" s="19">
        <f>D57*(1-'Inputs'!$C$38)-D56-D58</f>
        <v/>
      </c>
      <c r="E59" s="19">
        <f>E57*(1-'Inputs'!$C$38)-E56-E58</f>
        <v/>
      </c>
    </row>
    <row r="60">
      <c r="B60" t="inlineStr">
        <is>
          <t>Net return on allotted cost</t>
        </is>
      </c>
      <c r="C60" s="22">
        <f>IFERROR(C59/C56,0)</f>
        <v/>
      </c>
      <c r="D60" s="22">
        <f>IFERROR(D59/D56,0)</f>
        <v/>
      </c>
      <c r="E60" s="22">
        <f>IFERROR(E59/E56,0)</f>
        <v/>
      </c>
    </row>
    <row r="61">
      <c r="B61" t="inlineStr">
        <is>
          <t>Anchor P&amp;L minus QIB P&amp;L (Rs cr)</t>
        </is>
      </c>
      <c r="C61" s="19">
        <f>C49-C59</f>
        <v/>
      </c>
      <c r="D61" s="19">
        <f>D49-D59</f>
        <v/>
      </c>
      <c r="E61" s="19">
        <f>E49-E59</f>
        <v/>
      </c>
    </row>
    <row r="63">
      <c r="B63" s="10" t="inlineStr">
        <is>
          <t>Anchor route earns on a larger, more certain allotment but carries 30/90-day price risk and pays funds upfront; QIB route is small and allotment-uncertain but liquid on day one.</t>
        </is>
      </c>
    </row>
  </sheetData>
  <conditionalFormatting sqref="C1:C200">
    <cfRule type="expression" priority="1" dxfId="0">
      <formula>LEFT(C1,3)="RED"</formula>
    </cfRule>
    <cfRule type="expression" priority="2" dxfId="0">
      <formula>LEFT(C1,4)="FAIL"</formula>
    </cfRule>
    <cfRule type="expression" priority="3" dxfId="0">
      <formula>LEFT(C1,12)="INCONSISTENT"</formula>
    </cfRule>
    <cfRule type="expression" priority="4" dxfId="0">
      <formula>LEFT(C1,10)="DEGENERATE"</formula>
    </cfRule>
    <cfRule type="expression" priority="5" dxfId="1">
      <formula>LEFT(C1,5)="AMBER"</formula>
    </cfRule>
    <cfRule type="expression" priority="6" dxfId="1">
      <formula>LEFT(C1,5)="WATCH"</formula>
    </cfRule>
    <cfRule type="expression" priority="7" dxfId="2">
      <formula>LEFT(C1,2)="OK"</formula>
    </cfRule>
    <cfRule type="expression" priority="8" dxfId="2">
      <formula>LEFT(C1,4)="PASS"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J17"/>
  <sheetViews>
    <sheetView showGridLines="0" workbookViewId="0">
      <selection activeCell="A1" sqref="A1"/>
    </sheetView>
  </sheetViews>
  <sheetFormatPr baseColWidth="8" defaultRowHeight="15"/>
  <cols>
    <col width="2" customWidth="1" min="1" max="1"/>
    <col width="42" customWidth="1" min="2" max="2"/>
    <col width="14" customWidth="1" min="3" max="3"/>
    <col width="14" customWidth="1" min="4" max="4"/>
    <col width="14" customWidth="1" min="5" max="5"/>
    <col width="16" customWidth="1" min="6" max="6"/>
    <col width="14" customWidth="1" min="7" max="7"/>
    <col width="14" customWidth="1" min="8" max="8"/>
    <col width="26" customWidth="1" min="9" max="9"/>
    <col width="46" customWidth="1" min="10" max="10"/>
  </cols>
  <sheetData>
    <row r="1" ht="24" customHeight="1">
      <c r="A1" s="1" t="inlineStr">
        <is>
          <t>Supply-overhang calendar (shares in lakh)</t>
        </is>
      </c>
    </row>
    <row r="2" ht="20" customHeight="1">
      <c r="A2" s="2" t="inlineStr">
        <is>
          <t>Parshwanath Capital Ventures Fund | SEBI Registered CAT III AIF | IN/AIF3/25-26/2108 | Fund Manager: CA Deep Dalal | Sponsor: Jignesh Shah</t>
        </is>
      </c>
    </row>
    <row r="4">
      <c r="B4" s="18" t="inlineStr">
        <is>
          <t>Total post-issue shares (lakh)</t>
        </is>
      </c>
      <c r="C4" s="11" t="n">
        <v>620.31834</v>
      </c>
    </row>
    <row r="5">
      <c r="B5" s="18" t="inlineStr">
        <is>
          <t>Free float at listing (lakh)</t>
        </is>
      </c>
      <c r="C5" s="21">
        <f>C4-SUM(C9:C15)</f>
        <v/>
      </c>
    </row>
    <row r="6">
      <c r="B6" s="18" t="inlineStr">
        <is>
          <t>Free float as % of total</t>
        </is>
      </c>
      <c r="C6" s="22">
        <f>C5/C4</f>
        <v/>
      </c>
    </row>
    <row r="8">
      <c r="B8" s="6" t="inlineStr">
        <is>
          <t>Category</t>
        </is>
      </c>
      <c r="C8" s="6" t="inlineStr">
        <is>
          <t>Shares (lakh)</t>
        </is>
      </c>
      <c r="D8" s="6" t="inlineStr">
        <is>
          <t>Lock-in days from allotment</t>
        </is>
      </c>
      <c r="E8" s="6" t="inlineStr">
        <is>
          <t>Release date</t>
        </is>
      </c>
      <c r="F8" s="6" t="inlineStr">
        <is>
          <t>Free float just before release</t>
        </is>
      </c>
      <c r="G8" s="6" t="inlineStr">
        <is>
          <t>Release as % of float</t>
        </is>
      </c>
      <c r="H8" s="6" t="inlineStr">
        <is>
          <t>Cumulative released</t>
        </is>
      </c>
      <c r="I8" s="6" t="inlineStr">
        <is>
          <t>Flag</t>
        </is>
      </c>
      <c r="J8" s="6" t="inlineStr">
        <is>
          <t>Page cite / note</t>
        </is>
      </c>
    </row>
    <row r="9">
      <c r="B9" s="18" t="inlineStr">
        <is>
          <t>Anchor - tranche 1</t>
        </is>
      </c>
      <c r="C9" s="27">
        <f>'Allocation'!$C$17*'Inputs'!$C$34</f>
        <v/>
      </c>
      <c r="D9" s="28">
        <f>'Inputs'!$C$35</f>
        <v/>
      </c>
      <c r="E9" s="24">
        <f>'Inputs'!$C$32+D9</f>
        <v/>
      </c>
      <c r="F9" s="19">
        <f>$C$5+SUMIF($E$9:$E$15,"&lt;"&amp;E9,$C$9:$C$15)</f>
        <v/>
      </c>
      <c r="G9" s="22">
        <f>IF(F9&gt;0,C9/F9,0)</f>
        <v/>
      </c>
      <c r="H9" s="19">
        <f>SUMIF($E$9:$E$15,"&lt;="&amp;E9,$C$9:$C$15)</f>
        <v/>
      </c>
      <c r="I9" s="20">
        <f>IF(C9=0,"-",IF(G9&gt;0.25,"RED: large cliff vs float",IF(G9&gt;0.1,"AMBER: watch","OK")))</f>
        <v/>
      </c>
      <c r="J9" s="10" t="inlineStr">
        <is>
          <t>Whole anchor book, not only our allotment</t>
        </is>
      </c>
    </row>
    <row r="10">
      <c r="B10" s="18" t="inlineStr">
        <is>
          <t>Anchor - tranche 2</t>
        </is>
      </c>
      <c r="C10" s="27">
        <f>'Allocation'!$C$17*(1-'Inputs'!$C$34)</f>
        <v/>
      </c>
      <c r="D10" s="28">
        <f>'Inputs'!$C$36</f>
        <v/>
      </c>
      <c r="E10" s="24">
        <f>'Inputs'!$C$32+D10</f>
        <v/>
      </c>
      <c r="F10" s="19">
        <f>$C$5+SUMIF($E$9:$E$15,"&lt;"&amp;E10,$C$9:$C$15)</f>
        <v/>
      </c>
      <c r="G10" s="22">
        <f>IF(F10&gt;0,C10/F10,0)</f>
        <v/>
      </c>
      <c r="H10" s="19">
        <f>SUMIF($E$9:$E$15,"&lt;="&amp;E10,$C$9:$C$15)</f>
        <v/>
      </c>
      <c r="I10" s="20">
        <f>IF(C10=0,"-",IF(G10&gt;0.25,"RED: large cliff vs float",IF(G10&gt;0.1,"AMBER: watch","OK")))</f>
        <v/>
      </c>
      <c r="J10" s="10" t="inlineStr"/>
    </row>
    <row r="11">
      <c r="B11" s="18" t="inlineStr">
        <is>
          <t>Pre-issue public shareholders (6.61 lakh shares)</t>
        </is>
      </c>
      <c r="C11" s="11" t="n">
        <v>6.61</v>
      </c>
      <c r="D11" s="15" t="n">
        <v>180</v>
      </c>
      <c r="E11" s="24">
        <f>'Inputs'!$C$32+D11</f>
        <v/>
      </c>
      <c r="F11" s="19">
        <f>$C$5+SUMIF($E$9:$E$15,"&lt;"&amp;E11,$C$9:$C$15)</f>
        <v/>
      </c>
      <c r="G11" s="22">
        <f>IF(F11&gt;0,C11/F11,0)</f>
        <v/>
      </c>
      <c r="H11" s="19">
        <f>SUMIF($E$9:$E$15,"&lt;="&amp;E11,$C$9:$C$15)</f>
        <v/>
      </c>
      <c r="I11" s="20">
        <f>IF(C11=0,"-",IF(G11&gt;0.25,"RED: large cliff vs float",IF(G11&gt;0.1,"AMBER: watch","OK")))</f>
        <v/>
      </c>
      <c r="J11" s="10" t="inlineStr">
        <is>
          <t>p. 118; six months</t>
        </is>
      </c>
    </row>
    <row r="12">
      <c r="B12" s="18" t="inlineStr">
        <is>
          <t>Promoter holding above 20% of post-issue capital</t>
        </is>
      </c>
      <c r="C12" s="11" t="n">
        <v>319.65</v>
      </c>
      <c r="D12" s="15" t="n">
        <v>365</v>
      </c>
      <c r="E12" s="24">
        <f>'Inputs'!$C$32+D12</f>
        <v/>
      </c>
      <c r="F12" s="19">
        <f>$C$5+SUMIF($E$9:$E$15,"&lt;"&amp;E12,$C$9:$C$15)</f>
        <v/>
      </c>
      <c r="G12" s="22">
        <f>IF(F12&gt;0,C12/F12,0)</f>
        <v/>
      </c>
      <c r="H12" s="19">
        <f>SUMIF($E$9:$E$15,"&lt;="&amp;E12,$C$9:$C$15)</f>
        <v/>
      </c>
      <c r="I12" s="20">
        <f>IF(C12=0,"-",IF(G12&gt;0.25,"RED: large cliff vs float",IF(G12&gt;0.1,"AMBER: watch","OK")))</f>
        <v/>
      </c>
      <c r="J12" s="10" t="inlineStr">
        <is>
          <t>p. 117; one year</t>
        </is>
      </c>
    </row>
    <row r="13">
      <c r="B13" s="18" t="inlineStr">
        <is>
          <t>Promoters' minimum contribution (20% of post-issue capital)</t>
        </is>
      </c>
      <c r="C13" s="11" t="n">
        <v>124.06</v>
      </c>
      <c r="D13" s="15" t="n">
        <v>1095</v>
      </c>
      <c r="E13" s="24">
        <f>'Inputs'!$C$32+D13</f>
        <v/>
      </c>
      <c r="F13" s="19">
        <f>$C$5+SUMIF($E$9:$E$15,"&lt;"&amp;E13,$C$9:$C$15)</f>
        <v/>
      </c>
      <c r="G13" s="22">
        <f>IF(F13&gt;0,C13/F13,0)</f>
        <v/>
      </c>
      <c r="H13" s="19">
        <f>SUMIF($E$9:$E$15,"&lt;="&amp;E13,$C$9:$C$15)</f>
        <v/>
      </c>
      <c r="I13" s="20">
        <f>IF(C13=0,"-",IF(G13&gt;0.25,"RED: large cliff vs float",IF(G13&gt;0.1,"AMBER: watch","OK")))</f>
        <v/>
      </c>
      <c r="J13" s="10" t="inlineStr">
        <is>
          <t>p. 117; three years</t>
        </is>
      </c>
    </row>
    <row r="14">
      <c r="B14" s="18" t="inlineStr"/>
      <c r="C14" s="11" t="n"/>
      <c r="D14" s="15" t="n"/>
      <c r="E14" s="24">
        <f>'Inputs'!$C$32+D14</f>
        <v/>
      </c>
      <c r="F14" s="19">
        <f>$C$5+SUMIF($E$9:$E$15,"&lt;"&amp;E14,$C$9:$C$15)</f>
        <v/>
      </c>
      <c r="G14" s="22">
        <f>IF(F14&gt;0,C14/F14,0)</f>
        <v/>
      </c>
      <c r="H14" s="19">
        <f>SUMIF($E$9:$E$15,"&lt;="&amp;E14,$C$9:$C$15)</f>
        <v/>
      </c>
      <c r="I14" s="20">
        <f>IF(C14=0,"-",IF(G14&gt;0.25,"RED: large cliff vs float",IF(G14&gt;0.1,"AMBER: watch","OK")))</f>
        <v/>
      </c>
      <c r="J14" s="10" t="inlineStr"/>
    </row>
    <row r="15">
      <c r="B15" s="18" t="inlineStr"/>
      <c r="C15" s="11" t="n"/>
      <c r="D15" s="15" t="n"/>
      <c r="E15" s="24">
        <f>'Inputs'!$C$32+D15</f>
        <v/>
      </c>
      <c r="F15" s="19">
        <f>$C$5+SUMIF($E$9:$E$15,"&lt;"&amp;E15,$C$9:$C$15)</f>
        <v/>
      </c>
      <c r="G15" s="22">
        <f>IF(F15&gt;0,C15/F15,0)</f>
        <v/>
      </c>
      <c r="H15" s="19">
        <f>SUMIF($E$9:$E$15,"&lt;="&amp;E15,$C$9:$C$15)</f>
        <v/>
      </c>
      <c r="I15" s="20">
        <f>IF(C15=0,"-",IF(G15&gt;0.25,"RED: large cliff vs float",IF(G15&gt;0.1,"AMBER: watch","OK")))</f>
        <v/>
      </c>
      <c r="J15" s="10" t="inlineStr"/>
    </row>
    <row r="17">
      <c r="B17" s="10" t="inlineStr">
        <is>
          <t>A small float meeting a large release is a price event unrelated to the business. Re-key rows from the RHP 'Capital Structure' lock-in table.</t>
        </is>
      </c>
    </row>
  </sheetData>
  <conditionalFormatting sqref="I9:I15">
    <cfRule type="expression" priority="1" dxfId="0">
      <formula>LEFT(I9,3)="RED"</formula>
    </cfRule>
    <cfRule type="expression" priority="2" dxfId="0">
      <formula>LEFT(I9,4)="FAIL"</formula>
    </cfRule>
    <cfRule type="expression" priority="3" dxfId="0">
      <formula>LEFT(I9,12)="INCONSISTENT"</formula>
    </cfRule>
    <cfRule type="expression" priority="4" dxfId="0">
      <formula>LEFT(I9,10)="DEGENERATE"</formula>
    </cfRule>
    <cfRule type="expression" priority="5" dxfId="1">
      <formula>LEFT(I9,5)="AMBER"</formula>
    </cfRule>
    <cfRule type="expression" priority="6" dxfId="1">
      <formula>LEFT(I9,5)="WATCH"</formula>
    </cfRule>
    <cfRule type="expression" priority="7" dxfId="2">
      <formula>LEFT(I9,2)="OK"</formula>
    </cfRule>
    <cfRule type="expression" priority="8" dxfId="2">
      <formula>LEFT(I9,4)="PASS"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2026-10-29T10:04:41Z</dcterms:created>
  <dcterms:modified xmlns:dcterms="http://purl.org/dc/terms/" xmlns:xsi="http://www.w3.org/2001/XMLSchema-instance" xsi:type="dcterms:W3CDTF">2026-10-29T10:04:41Z</dcterms:modified>
</cp:coreProperties>
</file>