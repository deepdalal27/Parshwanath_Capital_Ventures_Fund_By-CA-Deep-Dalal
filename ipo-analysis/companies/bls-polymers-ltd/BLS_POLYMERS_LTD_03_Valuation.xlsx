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DCF" sheetId="4" state="visible" r:id="rId4"/>
    <sheet xmlns:r="http://schemas.openxmlformats.org/officeDocument/2006/relationships" name="Peers" sheetId="5" state="visible" r:id="rId5"/>
    <sheet xmlns:r="http://schemas.openxmlformats.org/officeDocument/2006/relationships" name="Relative" sheetId="6" state="visible" r:id="rId6"/>
    <sheet xmlns:r="http://schemas.openxmlformats.org/officeDocument/2006/relationships" name="ReverseDCF"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BLS Polymers Limited</t>
        </is>
      </c>
      <c r="D8" s="21" t="inlineStr"/>
    </row>
    <row r="9">
      <c r="B9" s="19" t="inlineStr">
        <is>
          <t>Financial basis</t>
        </is>
      </c>
      <c r="C9" s="20" t="inlineStr">
        <is>
          <t>Standalone</t>
        </is>
      </c>
      <c r="D9" s="21" t="inlineStr"/>
      <c r="E9" s="17" t="inlineStr">
        <is>
          <t>Use the same basis for every peer</t>
        </is>
      </c>
    </row>
    <row r="10">
      <c r="B10" s="19" t="inlineStr">
        <is>
          <t>Pre-issue shares, fully diluted (post any bonus)</t>
        </is>
      </c>
      <c r="C10" s="15" t="n">
        <v>4.5031834</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255</v>
      </c>
      <c r="D12" s="21" t="inlineStr">
        <is>
          <t>Rs cr</t>
        </is>
      </c>
    </row>
    <row r="13">
      <c r="B13" s="19" t="inlineStr">
        <is>
          <t>Fresh shares fixed in DRHP (0 if amount-based)</t>
        </is>
      </c>
      <c r="C13" s="15" t="n">
        <v>1.7</v>
      </c>
      <c r="D13" s="21" t="inlineStr">
        <is>
          <t>crore</t>
        </is>
      </c>
    </row>
    <row r="14">
      <c r="B14" s="19" t="inlineStr">
        <is>
          <t>OFS shares (no effect on share count)</t>
        </is>
      </c>
      <c r="C14" s="15" t="n">
        <v>0</v>
      </c>
      <c r="D14" s="21" t="inlineStr">
        <is>
          <t>crore</t>
        </is>
      </c>
    </row>
    <row r="15">
      <c r="B15" s="19" t="inlineStr">
        <is>
          <t>Price band - floor</t>
        </is>
      </c>
      <c r="C15" s="15" t="n">
        <v>142</v>
      </c>
      <c r="D15" s="21" t="inlineStr">
        <is>
          <t>Rs</t>
        </is>
      </c>
    </row>
    <row r="16">
      <c r="B16" s="19" t="inlineStr">
        <is>
          <t>Price band - cap</t>
        </is>
      </c>
      <c r="C16" s="15" t="n">
        <v>150</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167.0607</v>
      </c>
      <c r="D18" s="21" t="inlineStr">
        <is>
          <t>Rs cr</t>
        </is>
      </c>
    </row>
    <row r="19">
      <c r="B19" s="19" t="inlineStr">
        <is>
          <t>Offer expenses as % of fresh issue</t>
        </is>
      </c>
      <c r="C19" s="16" t="n">
        <v>0</v>
      </c>
      <c r="D19" s="21" t="inlineStr"/>
    </row>
    <row r="20">
      <c r="B20" s="19" t="inlineStr">
        <is>
          <t>GCP as % of fresh issue</t>
        </is>
      </c>
      <c r="C20" s="16" t="n">
        <v>0</v>
      </c>
      <c r="D20" s="21" t="inlineStr"/>
      <c r="E20" s="17" t="inlineStr">
        <is>
          <t>Check against regulatory cap</t>
        </is>
      </c>
    </row>
    <row r="21">
      <c r="B21" s="19" t="inlineStr">
        <is>
          <t>IPO-funded capex object</t>
        </is>
      </c>
      <c r="C21" s="15" t="n">
        <v>65.77079999999999</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349.4283</v>
      </c>
      <c r="D25" s="21" t="inlineStr">
        <is>
          <t>Rs cr</t>
        </is>
      </c>
    </row>
    <row r="26">
      <c r="B26" s="19" t="inlineStr">
        <is>
          <t>Revenue - prior year</t>
        </is>
      </c>
      <c r="C26" s="15" t="n">
        <v>328.4359</v>
      </c>
      <c r="D26" s="21" t="inlineStr">
        <is>
          <t>Rs cr</t>
        </is>
      </c>
    </row>
    <row r="27">
      <c r="B27" s="19" t="inlineStr">
        <is>
          <t>EBITDA (ties to issuer KPI table)</t>
        </is>
      </c>
      <c r="C27" s="15" t="n">
        <v>41.901</v>
      </c>
      <c r="D27" s="21" t="inlineStr">
        <is>
          <t>Rs cr</t>
        </is>
      </c>
    </row>
    <row r="28">
      <c r="B28" s="19" t="inlineStr">
        <is>
          <t>Depreciation &amp; amortisation</t>
        </is>
      </c>
      <c r="C28" s="15" t="n">
        <v>2.8792</v>
      </c>
      <c r="D28" s="21" t="inlineStr">
        <is>
          <t>Rs cr</t>
        </is>
      </c>
    </row>
    <row r="29">
      <c r="B29" s="19" t="inlineStr">
        <is>
          <t>PAT</t>
        </is>
      </c>
      <c r="C29" s="15" t="n">
        <v>27.0094</v>
      </c>
      <c r="D29" s="21" t="inlineStr">
        <is>
          <t>Rs cr</t>
        </is>
      </c>
    </row>
    <row r="30">
      <c r="B30" s="19" t="inlineStr">
        <is>
          <t>Net worth (pre-issue)</t>
        </is>
      </c>
      <c r="C30" s="15" t="n">
        <v>94.934</v>
      </c>
      <c r="D30" s="21" t="inlineStr">
        <is>
          <t>Rs cr</t>
        </is>
      </c>
    </row>
    <row r="31">
      <c r="B31" s="19" t="inlineStr">
        <is>
          <t>Net debt (borrowings - cash)</t>
        </is>
      </c>
      <c r="C31" s="15" t="n">
        <v>49.2855</v>
      </c>
      <c r="D31" s="21" t="inlineStr">
        <is>
          <t>Rs cr</t>
        </is>
      </c>
    </row>
    <row r="32">
      <c r="B32" s="19" t="inlineStr">
        <is>
          <t>Net working capital</t>
        </is>
      </c>
      <c r="C32" s="15" t="n">
        <v>96.0932</v>
      </c>
      <c r="D32" s="21" t="inlineStr">
        <is>
          <t>Rs cr</t>
        </is>
      </c>
      <c r="E32" s="17" t="inlineStr">
        <is>
          <t>Reconcile to Objects-chapter WC table</t>
        </is>
      </c>
    </row>
    <row r="33">
      <c r="B33" s="19" t="inlineStr">
        <is>
          <t>Net working capital - prior year</t>
        </is>
      </c>
      <c r="C33" s="15" t="n">
        <v>100.8853</v>
      </c>
      <c r="D33" s="21" t="inlineStr">
        <is>
          <t>Rs cr</t>
        </is>
      </c>
    </row>
    <row r="34">
      <c r="B34" s="19" t="inlineStr">
        <is>
          <t>Capex (purchase of PPE + intangibles)</t>
        </is>
      </c>
      <c r="C34" s="15" t="n">
        <v>4.7299</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0.09</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0.05</v>
      </c>
      <c r="F67" s="16" t="n">
        <v>0.1</v>
      </c>
      <c r="G67" s="16" t="n">
        <v>0.15</v>
      </c>
      <c r="H67" s="20" t="inlineStr">
        <is>
          <t>Revenue +10.82% (FY25) and +6.39% (FY26), led by trading; manufactured polymer revenue Rs 254.42 cr -&gt; Rs 241.62 cr -&gt; Rs 237.00 cr FY24-26 (pp. 406, 408). Capacity rises from 35,251 to 87,301 MTPA (+148%) with commercial production by FY28, from 73-75% utilisation now (pp. 123-124). Neutral steps up growth in FY28-29 as the new lines fill; Bear assumes slow ramp-up; Bull assumes export orders through the GCC arrangement (p. 124).</t>
        </is>
      </c>
    </row>
    <row r="68">
      <c r="B68" t="inlineStr">
        <is>
          <t>Revenue growth Y2</t>
        </is>
      </c>
      <c r="C68" s="23">
        <f>INDEX(E68:G68,Assumptions!$C$5)</f>
        <v/>
      </c>
      <c r="E68" s="16" t="n">
        <v>0.08</v>
      </c>
      <c r="F68" s="16" t="n">
        <v>0.18</v>
      </c>
      <c r="G68" s="16" t="n">
        <v>0.25</v>
      </c>
      <c r="H68" s="20" t="inlineStr">
        <is>
          <t>[rationale + page]</t>
        </is>
      </c>
    </row>
    <row r="69">
      <c r="B69" t="inlineStr">
        <is>
          <t>Revenue growth Y3</t>
        </is>
      </c>
      <c r="C69" s="23">
        <f>INDEX(E69:G69,Assumptions!$C$5)</f>
        <v/>
      </c>
      <c r="E69" s="16" t="n">
        <v>0.1</v>
      </c>
      <c r="F69" s="16" t="n">
        <v>0.22</v>
      </c>
      <c r="G69" s="16" t="n">
        <v>0.3</v>
      </c>
      <c r="H69" s="20" t="inlineStr">
        <is>
          <t>[rationale + page]</t>
        </is>
      </c>
    </row>
    <row r="70">
      <c r="B70" t="inlineStr">
        <is>
          <t>Revenue growth Y4</t>
        </is>
      </c>
      <c r="C70" s="23">
        <f>INDEX(E70:G70,Assumptions!$C$5)</f>
        <v/>
      </c>
      <c r="E70" s="16" t="n">
        <v>0.08</v>
      </c>
      <c r="F70" s="16" t="n">
        <v>0.15</v>
      </c>
      <c r="G70" s="16" t="n">
        <v>0.2</v>
      </c>
      <c r="H70" s="20" t="inlineStr">
        <is>
          <t>[rationale + page]</t>
        </is>
      </c>
    </row>
    <row r="71">
      <c r="B71" t="inlineStr">
        <is>
          <t>Revenue growth Y5</t>
        </is>
      </c>
      <c r="C71" s="23">
        <f>INDEX(E71:G71,Assumptions!$C$5)</f>
        <v/>
      </c>
      <c r="E71" s="16" t="n">
        <v>0.06</v>
      </c>
      <c r="F71" s="16" t="n">
        <v>0.1</v>
      </c>
      <c r="G71" s="16" t="n">
        <v>0.12</v>
      </c>
      <c r="H71" s="20" t="inlineStr">
        <is>
          <t>[rationale + page]</t>
        </is>
      </c>
    </row>
    <row r="72">
      <c r="B72" t="inlineStr">
        <is>
          <t>EBITDA margin Y1-Y5</t>
        </is>
      </c>
      <c r="C72" s="23">
        <f>INDEX(E72:G72,Assumptions!$C$5)</f>
        <v/>
      </c>
      <c r="E72" s="16" t="n">
        <v>0.091</v>
      </c>
      <c r="F72" s="16" t="n">
        <v>0.12</v>
      </c>
      <c r="G72" s="16" t="n">
        <v>0.145</v>
      </c>
      <c r="H72" s="20" t="inlineStr">
        <is>
          <t>Operating EBITDA (PBT + finance cost + D&amp;A - other income, our computation from p. 85) Rs 16.41 cr / 31.77 cr / 41.90 cr FY24-26 = 5.54% / 9.67% / 11.99% of revenue, and 14.46% in Q1 FY27. The issuer's KPI EBITDA (Rs 46.60 cr, 13.33%) does not net off other income in full despite its stated definition (p. 144). Bear = three-year average (9.1%); Neutral = FY26 actual (12.0%); Bull = Q1 FY27 level (14.5%).</t>
        </is>
      </c>
    </row>
    <row r="73">
      <c r="B73" t="inlineStr">
        <is>
          <t>Net working capital % revenue</t>
        </is>
      </c>
      <c r="C73" s="23">
        <f>INDEX(E73:G73,Assumptions!$C$5)</f>
        <v/>
      </c>
      <c r="E73" s="16" t="n">
        <v>0.33</v>
      </c>
      <c r="F73" s="16" t="n">
        <v>0.29</v>
      </c>
      <c r="G73" s="16" t="n">
        <v>0.27</v>
      </c>
      <c r="H73" s="20" t="inlineStr">
        <is>
          <t>Trade working capital 35.5% / 30.7% / 27.5% of revenue FY24-26 (p. 84). Neutral 29%, near the FY25-26 level and below the three-year average, since FY26 is the base year; Bear 33%; Bull holds FY26.</t>
        </is>
      </c>
    </row>
    <row r="74">
      <c r="B74" t="inlineStr">
        <is>
          <t>Terminal ROIC</t>
        </is>
      </c>
      <c r="C74" s="23">
        <f>INDEX(E74:G74,Assumptions!$C$5)</f>
        <v/>
      </c>
      <c r="E74" s="16" t="n">
        <v>0.14</v>
      </c>
      <c r="F74" s="16" t="n">
        <v>0.18</v>
      </c>
      <c r="G74" s="16" t="n">
        <v>0.22</v>
      </c>
      <c r="H74" s="20" t="inlineStr">
        <is>
          <t>ROCE 12.84% / 25.46% / 29.51% FY24-26 (p. 144). Neutral terminal ROIC 18%.</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Kingfa Science &amp; Technology (India) Ltd (per share)</t>
        </is>
      </c>
      <c r="C5" s="20" t="inlineStr">
        <is>
          <t>Y</t>
        </is>
      </c>
      <c r="D5" s="20" t="inlineStr">
        <is>
          <t>Polymer compounder - issuer's peer, p. 141</t>
        </is>
      </c>
      <c r="E5" s="20" t="inlineStr">
        <is>
          <t>Consolidated</t>
        </is>
      </c>
      <c r="F5" s="15" t="n">
        <v>6664.62</v>
      </c>
      <c r="G5" s="15" t="n">
        <v>1</v>
      </c>
      <c r="H5" s="15" t="n"/>
      <c r="I5" s="15" t="n"/>
      <c r="J5" s="15" t="n"/>
      <c r="K5" s="15" t="n">
        <v>144.1</v>
      </c>
      <c r="L5" s="15" t="n">
        <v>1155.4</v>
      </c>
      <c r="M5" s="16" t="n">
        <v>0.1438</v>
      </c>
      <c r="N5" s="13">
        <f>IF(F5="","",F5*G5)</f>
        <v/>
      </c>
      <c r="O5" s="13">
        <f>IF(N5="","",N5+H5)</f>
        <v/>
      </c>
      <c r="P5" s="27">
        <f>IF(AND(C5="Y",N(K5)&gt;0),N5/K5,"")</f>
        <v/>
      </c>
      <c r="Q5" s="27">
        <f>IF(AND(C5="Y",N(J5)&gt;0),O5/J5,"")</f>
        <v/>
      </c>
      <c r="R5" s="27">
        <f>IF(AND(C5="Y",N(L5)&gt;0),N5/L5,"")</f>
        <v/>
      </c>
      <c r="S5" s="10">
        <f>IF(N(I5)&gt;0,J5/I5,"")</f>
        <v/>
      </c>
      <c r="T5" s="10">
        <f>IF(N(L5)&gt;0,K5/L5,"")</f>
        <v/>
      </c>
    </row>
    <row r="6">
      <c r="B6" s="20" t="inlineStr">
        <is>
          <t>DDev Plastiks Industries Ltd (per share)</t>
        </is>
      </c>
      <c r="C6" s="20" t="inlineStr">
        <is>
          <t>Y</t>
        </is>
      </c>
      <c r="D6" s="20" t="inlineStr">
        <is>
          <t>Polymer compounds for wires and cables - issuer's peer, p. 141</t>
        </is>
      </c>
      <c r="E6" s="20" t="inlineStr">
        <is>
          <t>Consolidated</t>
        </is>
      </c>
      <c r="F6" s="15" t="n">
        <v>252.92</v>
      </c>
      <c r="G6" s="15" t="n">
        <v>1</v>
      </c>
      <c r="H6" s="15" t="n"/>
      <c r="I6" s="15" t="n"/>
      <c r="J6" s="15" t="n"/>
      <c r="K6" s="15" t="n">
        <v>19.5</v>
      </c>
      <c r="L6" s="15" t="n">
        <v>97.93000000000001</v>
      </c>
      <c r="M6" s="16" t="n">
        <v>0.1323</v>
      </c>
      <c r="N6" s="13">
        <f>IF(F6="","",F6*G6)</f>
        <v/>
      </c>
      <c r="O6" s="13">
        <f>IF(N6="","",N6+H6)</f>
        <v/>
      </c>
      <c r="P6" s="27">
        <f>IF(AND(C6="Y",N(K6)&gt;0),N6/K6,"")</f>
        <v/>
      </c>
      <c r="Q6" s="27">
        <f>IF(AND(C6="Y",N(J6)&gt;0),O6/J6,"")</f>
        <v/>
      </c>
      <c r="R6" s="27">
        <f>IF(AND(C6="Y",N(L6)&gt;0),N6/L6,"")</f>
        <v/>
      </c>
      <c r="S6" s="10">
        <f>IF(N(I6)&gt;0,J6/I6,"")</f>
        <v/>
      </c>
      <c r="T6" s="10">
        <f>IF(N(L6)&gt;0,K6/L6,"")</f>
        <v/>
      </c>
    </row>
    <row r="7">
      <c r="B7" s="20" t="inlineStr">
        <is>
          <t>Plastiblends India Ltd (per share)</t>
        </is>
      </c>
      <c r="C7" s="20" t="inlineStr">
        <is>
          <t>Y</t>
        </is>
      </c>
      <c r="D7" s="20" t="inlineStr">
        <is>
          <t>Masterbatches and compounds - issuer's peer, p. 141</t>
        </is>
      </c>
      <c r="E7" s="20" t="inlineStr">
        <is>
          <t>Consolidated</t>
        </is>
      </c>
      <c r="F7" s="15" t="n">
        <v>205.16</v>
      </c>
      <c r="G7" s="15" t="n">
        <v>1</v>
      </c>
      <c r="H7" s="15" t="n"/>
      <c r="I7" s="15" t="n"/>
      <c r="J7" s="15" t="n"/>
      <c r="K7" s="15" t="n">
        <v>14.12</v>
      </c>
      <c r="L7" s="15" t="n">
        <v>172.78</v>
      </c>
      <c r="M7" s="16" t="n">
        <v>0.0105</v>
      </c>
      <c r="N7" s="13">
        <f>IF(F7="","",F7*G7)</f>
        <v/>
      </c>
      <c r="O7" s="13">
        <f>IF(N7="","",N7+H7)</f>
        <v/>
      </c>
      <c r="P7" s="27">
        <f>IF(AND(C7="Y",N(K7)&gt;0),N7/K7,"")</f>
        <v/>
      </c>
      <c r="Q7" s="27">
        <f>IF(AND(C7="Y",N(J7)&gt;0),O7/J7,"")</f>
        <v/>
      </c>
      <c r="R7" s="27">
        <f>IF(AND(C7="Y",N(L7)&gt;0),N7/L7,"")</f>
        <v/>
      </c>
      <c r="S7" s="10">
        <f>IF(N(I7)&gt;0,J7/I7,"")</f>
        <v/>
      </c>
      <c r="T7" s="10">
        <f>IF(N(L7)&gt;0,K7/L7,"")</f>
        <v/>
      </c>
    </row>
    <row r="8">
      <c r="B8" s="20" t="inlineStr"/>
      <c r="C8" s="20" t="inlineStr"/>
      <c r="D8" s="20" t="inlineStr"/>
      <c r="E8" s="20" t="inlineStr"/>
      <c r="F8" s="15" t="n"/>
      <c r="G8" s="15" t="n"/>
      <c r="H8" s="15" t="n"/>
      <c r="I8" s="15" t="n"/>
      <c r="J8" s="15" t="n"/>
      <c r="K8" s="15" t="n"/>
      <c r="L8" s="15" t="n"/>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2026-10-29T09:38:42Z</dcterms:created>
  <dcterms:modified xmlns:dcterms="http://purl.org/dc/terms/" xmlns:xsi="http://www.w3.org/2001/XMLSchema-instance" xsi:type="dcterms:W3CDTF">2026-10-29T09:38:42Z</dcterms:modified>
</cp:coreProperties>
</file>