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dd-mmm-yyyy"/>
    <numFmt numFmtId="165" formatCode="yyyy-mm-dd"/>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4" fontId="6" fillId="2" borderId="1" pivotButton="0" quotePrefix="0" xfId="0"/>
    <xf numFmtId="164"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HGS (India) Limited</t>
        </is>
      </c>
      <c r="D5" s="8" t="inlineStr"/>
    </row>
    <row r="6">
      <c r="B6" s="6" t="inlineStr">
        <is>
          <t>Platform</t>
        </is>
      </c>
      <c r="C6" s="7" t="inlineStr">
        <is>
          <t>SME</t>
        </is>
      </c>
      <c r="D6" s="8" t="inlineStr"/>
    </row>
    <row r="7">
      <c r="B7" s="6" t="inlineStr">
        <is>
          <t>Stage</t>
        </is>
      </c>
      <c r="C7" s="9" t="inlineStr">
        <is>
          <t>RHP</t>
        </is>
      </c>
      <c r="D7" s="8" t="inlineStr"/>
    </row>
    <row r="8">
      <c r="B8" s="6" t="inlineStr">
        <is>
          <t>Document date</t>
        </is>
      </c>
      <c r="C8" s="10" t="n"/>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Hem Securities Limited</t>
        </is>
      </c>
      <c r="D14" s="8" t="inlineStr"/>
      <c r="E14" s="14" t="inlineStr">
        <is>
          <t>Compile BRLM track record (CIR/MIRSD/1/2012)</t>
        </is>
      </c>
    </row>
    <row r="15">
      <c r="B15" s="6" t="inlineStr">
        <is>
          <t>Figures from outside the offer document</t>
        </is>
      </c>
      <c r="C15" s="7" t="inlineStr">
        <is>
          <t>RHP not reachable (nsearchives.nseindia.com blocked); figures from public trackers reproducing the offer document; price band and issue split from the NSE issue page</t>
        </is>
      </c>
      <c r="D15" s="8" t="inlineStr"/>
    </row>
    <row r="17">
      <c r="B17" s="4" t="inlineStr">
        <is>
          <t>Trade being underwritten</t>
        </is>
      </c>
    </row>
    <row r="18">
      <c r="B18" s="6" t="inlineStr">
        <is>
          <t>Bid category</t>
        </is>
      </c>
      <c r="C18" s="7" t="inlineStr">
        <is>
          <t>NII / Retail</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37.93</v>
      </c>
      <c r="D5" s="16" t="n">
        <v>49.08</v>
      </c>
      <c r="E5" s="16" t="n">
        <v>45.16</v>
      </c>
      <c r="F5" s="16" t="n"/>
      <c r="G5" s="7" t="inlineStr">
        <is>
          <t>FY25-26 revenue from operations (Multibagg RHP analysis); FY24 total income (Chanakya, Multibagg)</t>
        </is>
      </c>
    </row>
    <row r="6">
      <c r="B6" t="inlineStr">
        <is>
          <t>Other income</t>
        </is>
      </c>
      <c r="C6" s="16" t="n"/>
      <c r="D6" s="16" t="n">
        <v>4.37</v>
      </c>
      <c r="E6" s="16" t="n">
        <v>3.75</v>
      </c>
      <c r="F6" s="16" t="n"/>
      <c r="G6" s="7" t="inlineStr">
        <is>
          <t>Total income 53.45 / 48.91 less revenue from operations 49.08 / 45.16</t>
        </is>
      </c>
    </row>
    <row r="7">
      <c r="B7" t="inlineStr">
        <is>
          <t>Profit before tax</t>
        </is>
      </c>
      <c r="C7" s="16" t="n"/>
      <c r="D7" s="16" t="n"/>
      <c r="E7" s="16" t="n"/>
      <c r="F7" s="16" t="n"/>
      <c r="G7" s="7" t="inlineStr"/>
    </row>
    <row r="8">
      <c r="B8" t="inlineStr">
        <is>
          <t>Current tax</t>
        </is>
      </c>
      <c r="C8" s="16" t="n"/>
      <c r="D8" s="16" t="n"/>
      <c r="E8" s="16" t="n"/>
      <c r="F8" s="16" t="n"/>
      <c r="G8" s="7" t="inlineStr"/>
    </row>
    <row r="9">
      <c r="B9" t="inlineStr">
        <is>
          <t>Deferred tax</t>
        </is>
      </c>
      <c r="C9" s="16" t="n"/>
      <c r="D9" s="16" t="n"/>
      <c r="E9" s="16" t="n"/>
      <c r="F9" s="16" t="n"/>
      <c r="G9" s="7" t="inlineStr"/>
    </row>
    <row r="10">
      <c r="B10" t="inlineStr">
        <is>
          <t>PAT</t>
        </is>
      </c>
      <c r="C10" s="16" t="n">
        <v>4</v>
      </c>
      <c r="D10" s="16" t="n">
        <v>10.51</v>
      </c>
      <c r="E10" s="16" t="n">
        <v>11.64</v>
      </c>
      <c r="F10" s="16" t="n"/>
      <c r="G10" s="7" t="inlineStr">
        <is>
          <t>Restated (Multibagg, Chanakya); FY26 PAT margin 25.77% on revenue (ScanX, HDFC Sky)</t>
        </is>
      </c>
    </row>
    <row r="11">
      <c r="B11" t="inlineStr">
        <is>
          <t>Cash flow from operations</t>
        </is>
      </c>
      <c r="C11" s="16" t="n"/>
      <c r="D11" s="16" t="n"/>
      <c r="E11" s="16" t="n"/>
      <c r="F11" s="16" t="n"/>
      <c r="G11" s="7" t="inlineStr"/>
    </row>
    <row r="12">
      <c r="B12" t="inlineStr">
        <is>
          <t>Related-party sales</t>
        </is>
      </c>
      <c r="C12" s="16" t="n"/>
      <c r="D12" s="16" t="n"/>
      <c r="E12" s="16" t="n"/>
      <c r="F12" s="16" t="n"/>
      <c r="G12" s="7" t="inlineStr"/>
    </row>
    <row r="13">
      <c r="B13" t="inlineStr">
        <is>
          <t>Related-party purchases (incl. capex)</t>
        </is>
      </c>
      <c r="C13" s="16" t="n"/>
      <c r="D13" s="16" t="n"/>
      <c r="E13" s="16" t="n"/>
      <c r="F13" s="16" t="n"/>
      <c r="G13" s="7" t="inlineStr"/>
    </row>
    <row r="14">
      <c r="B14" t="inlineStr">
        <is>
          <t>Net worth</t>
        </is>
      </c>
      <c r="C14" s="16" t="n">
        <v>95.04000000000001</v>
      </c>
      <c r="D14" s="16" t="n">
        <v>85.16</v>
      </c>
      <c r="E14" s="16" t="n">
        <v>89.27</v>
      </c>
      <c r="F14" s="16" t="n"/>
      <c r="G14" s="7" t="inlineStr">
        <is>
          <t>Restated (Chanakya); FY24 figure looks high against FY25 and needs the RHP</t>
        </is>
      </c>
    </row>
    <row r="15">
      <c r="B15" t="inlineStr">
        <is>
          <t>Trade receivables</t>
        </is>
      </c>
      <c r="C15" s="16" t="n"/>
      <c r="D15" s="16" t="n"/>
      <c r="E15" s="16" t="n"/>
      <c r="F15" s="16" t="n"/>
      <c r="G15" s="7" t="inlineStr"/>
    </row>
    <row r="16">
      <c r="B16" t="inlineStr">
        <is>
          <t>Inventory</t>
        </is>
      </c>
      <c r="C16" s="16" t="n"/>
      <c r="D16" s="16" t="n"/>
      <c r="E16" s="16" t="n"/>
      <c r="F16" s="16" t="n"/>
      <c r="G16" s="7" t="inlineStr"/>
    </row>
    <row r="17">
      <c r="B17" t="inlineStr">
        <is>
          <t>Trade payables</t>
        </is>
      </c>
      <c r="C17" s="16" t="n"/>
      <c r="D17" s="16" t="n"/>
      <c r="E17" s="16" t="n"/>
      <c r="F17" s="16" t="n"/>
      <c r="G17" s="7" t="inlineStr"/>
    </row>
    <row r="18">
      <c r="B18" t="inlineStr">
        <is>
          <t>Contingent liabilities</t>
        </is>
      </c>
      <c r="C18" s="16" t="n"/>
      <c r="D18" s="16" t="n"/>
      <c r="E18" s="16" t="n"/>
      <c r="F18" s="16" t="n"/>
      <c r="G18" s="7" t="inlineStr"/>
    </row>
    <row r="19">
      <c r="B19" t="inlineStr">
        <is>
          <t>Goodwill + intangibles</t>
        </is>
      </c>
      <c r="C19" s="16" t="n"/>
      <c r="D19" s="16" t="n"/>
      <c r="E19" s="16" t="n"/>
      <c r="F19" s="16" t="n"/>
      <c r="G19" s="7" t="inlineStr"/>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row>
    <row r="24">
      <c r="B24" t="inlineStr">
        <is>
          <t>Top-10 customers % of revenue</t>
        </is>
      </c>
      <c r="E24" s="17" t="n">
        <v>0.7258</v>
      </c>
    </row>
    <row r="25">
      <c r="B25" t="inlineStr">
        <is>
          <t>Top supplier % of purchases</t>
        </is>
      </c>
      <c r="E25" s="17" t="n"/>
    </row>
    <row r="26">
      <c r="B26" t="inlineStr">
        <is>
          <t>Largest state/country % of revenue</t>
        </is>
      </c>
      <c r="E26" s="17" t="n">
        <v>0.8421999999999999</v>
      </c>
    </row>
    <row r="27">
      <c r="B27" t="inlineStr">
        <is>
          <t>Fresh issue net of expenses</t>
        </is>
      </c>
      <c r="E27" s="16" t="n"/>
    </row>
    <row r="28">
      <c r="B28" t="inlineStr">
        <is>
          <t>Promoter weighted avg cost of acquisition (Rs)</t>
        </is>
      </c>
      <c r="E28" s="16" t="n"/>
    </row>
    <row r="29">
      <c r="B29" t="inlineStr">
        <is>
          <t>Offer price / cap (Rs)</t>
        </is>
      </c>
      <c r="E29" s="16" t="n">
        <v>34.56</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trackers</t>
        </is>
      </c>
      <c r="G5" s="27" t="inlineStr">
        <is>
          <t>Pre-issue market cap Rs 102.39 cr at Rs 120 implies 85.33 lakh pre-issue shares; plus 23.26 lakh fresh = 108.59 lakh, matching the Rs 130.30 cr post-issue market cap. Pre-issue P/E 8.80x x PAT Rs 11.64 cr reconciles.</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OPEN</t>
        </is>
      </c>
      <c r="F6" s="7" t="inlineStr"/>
      <c r="G6" s="27" t="inlineStr">
        <is>
          <t>Operating cash flow not available without the RHP.</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OPEN</t>
        </is>
      </c>
      <c r="F7" s="7" t="inlineStr"/>
      <c r="G7" s="27" t="inlineStr">
        <is>
          <t>Current vs deferred tax split not available.</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trackers</t>
        </is>
      </c>
      <c r="G8" s="27" t="inlineStr">
        <is>
          <t>FY25 buyback followed by a Rs 7.68 cr dividend before the IPO (explains net worth falling from Rs 95.04 cr to Rs 85.16 cr). Cash returned to existing holders shortly before raising fresh money; related-party transactions otherwise not available. One promoter is a company (Sowar Private Limited).</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PASS</t>
        </is>
      </c>
      <c r="F9" s="7" t="inlineStr">
        <is>
          <t>objects (trackers)</t>
        </is>
      </c>
      <c r="G9" s="27" t="inlineStr">
        <is>
          <t>Specific objects Rs 19.36 cr (replacement plant and machinery Rs 15.05 cr, second-floor building at Manesar Rs 3.26 cr, gold-plating facility Rs 1.05 cr) over 23.26 lakh fresh shares = Rs 89 a share after 6% assumed expenses, below the Rs 114 floor. The balance of the Rs 27.91 cr fresh issue is for unidentified acquisitions and GCP.</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OPEN</t>
        </is>
      </c>
      <c r="F11" s="7" t="inlineStr"/>
      <c r="G11" s="27" t="inlineStr">
        <is>
          <t>Goodwill and intangibles not available.</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trackers</t>
        </is>
      </c>
      <c r="G12" s="27" t="inlineStr">
        <is>
          <t>Top 10 customers 72.58% of FY26 revenue (90.05% in the stub to Apr-2026), no long-term contracts; exports 84.22% of FY26 revenue; geophone strings 66.29% of revenue; imports 73.65% of purchases. Normal for a niche seismic-equipment exporter, but concentration is high.</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OPEN</t>
        </is>
      </c>
      <c r="F13" s="7" t="inlineStr"/>
      <c r="G13" s="27" t="inlineStr">
        <is>
          <t>Contingent liabilities and litigation not available. Borrowings nil at 31-Mar-2026 and 30-Apr-2026 (bank debit balances Rs 0.46 cr not treated as borrowings).</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OPEN</t>
        </is>
      </c>
      <c r="F15" s="7" t="inlineStr"/>
      <c r="G15" s="27" t="inlineStr">
        <is>
          <t>Auditor and any qualifications not available.</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N.A.</t>
        </is>
      </c>
      <c r="F17" s="7" t="inlineStr"/>
      <c r="G17" s="27" t="inlineStr">
        <is>
          <t>Fresh issue Rs 27.91 cr, below Rs 50 cr: monitoring agency not mandatory.</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OPEN</t>
        </is>
      </c>
      <c r="F19" s="7" t="inlineStr"/>
      <c r="G19" s="27" t="inlineStr">
        <is>
          <t>SME eligibility appears met (net worth Rs 89 cr, profitable); not re-computed from the RHP.</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Hem Securities (sole BRLM): an active SME lead manager; track record not compiled in this run.</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2026-10-29T02:20:41Z</dcterms:created>
  <dcterms:modified xmlns:dcterms="http://purl.org/dc/terms/" xmlns:xsi="http://www.w3.org/2001/XMLSchema-instance" xsi:type="dcterms:W3CDTF">2026-10-29T02:20:41Z</dcterms:modified>
</cp:coreProperties>
</file>