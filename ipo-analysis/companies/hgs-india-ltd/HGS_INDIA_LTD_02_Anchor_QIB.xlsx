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HGS (India) Limited</t>
        </is>
      </c>
      <c r="D5" s="9" t="inlineStr"/>
      <c r="E5" s="10" t="inlineStr">
        <is>
          <t>Name as per RHP</t>
        </is>
      </c>
    </row>
    <row r="6">
      <c r="B6" s="7" t="inlineStr">
        <is>
          <t>Platform</t>
        </is>
      </c>
      <c r="C6" s="8" t="inlineStr">
        <is>
          <t>SME</t>
        </is>
      </c>
      <c r="D6" s="9" t="inlineStr"/>
      <c r="E6" s="10" t="inlineStr">
        <is>
          <t>Mainboard / SME</t>
        </is>
      </c>
    </row>
    <row r="7">
      <c r="B7" s="7" t="inlineStr">
        <is>
          <t>Final offer price</t>
        </is>
      </c>
      <c r="C7" s="11" t="n">
        <v>120</v>
      </c>
      <c r="D7" s="9" t="inlineStr">
        <is>
          <t>Rs/share</t>
        </is>
      </c>
    </row>
    <row r="8">
      <c r="B8" s="7" t="inlineStr">
        <is>
          <t>Anchor allocation price</t>
        </is>
      </c>
      <c r="C8" s="11" t="n">
        <v>120</v>
      </c>
      <c r="D8" s="9" t="inlineStr">
        <is>
          <t>Rs/share</t>
        </is>
      </c>
      <c r="E8" s="10" t="inlineStr">
        <is>
          <t>If offer price &gt; anchor price, anchors pay the difference; if lower, no refund</t>
        </is>
      </c>
    </row>
    <row r="9">
      <c r="B9" s="7" t="inlineStr">
        <is>
          <t>Total issue size</t>
        </is>
      </c>
      <c r="C9" s="11" t="n">
        <v>34.56</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46324</v>
      </c>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108.59</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Promoters' minimum contribution (20% of post-issue capital)</t>
        </is>
      </c>
      <c r="C11" s="11" t="n">
        <v>21.72</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SEBI ICDR (SME): three years</t>
        </is>
      </c>
    </row>
    <row r="12">
      <c r="B12" s="18" t="inlineStr"/>
      <c r="C12" s="11" t="n"/>
      <c r="D12" s="15" t="n"/>
      <c r="E12" s="24">
        <f>'Inputs'!$C$32+D12</f>
        <v/>
      </c>
      <c r="F12" s="19">
        <f>$C$5+SUMIF($E$9:$E$15,"&lt;"&amp;E12,$C$9:$C$15)</f>
        <v/>
      </c>
      <c r="G12" s="22">
        <f>IF(F12&gt;0,C12/F12,0)</f>
        <v/>
      </c>
      <c r="H12" s="19">
        <f>SUMIF($E$9:$E$15,"&lt;="&amp;E12,$C$9:$C$15)</f>
        <v/>
      </c>
      <c r="I12" s="20">
        <f>IF(C12=0,"-",IF(G12&gt;0.25,"RED: large cliff vs float",IF(G12&gt;0.1,"AMBER: watch","OK")))</f>
        <v/>
      </c>
      <c r="J12" s="10" t="inlineStr"/>
    </row>
    <row r="13">
      <c r="B13" s="18" t="inlineStr"/>
      <c r="C13" s="11" t="n"/>
      <c r="D13" s="15" t="n"/>
      <c r="E13" s="24">
        <f>'Inputs'!$C$32+D13</f>
        <v/>
      </c>
      <c r="F13" s="19">
        <f>$C$5+SUMIF($E$9:$E$15,"&lt;"&amp;E13,$C$9:$C$15)</f>
        <v/>
      </c>
      <c r="G13" s="22">
        <f>IF(F13&gt;0,C13/F13,0)</f>
        <v/>
      </c>
      <c r="H13" s="19">
        <f>SUMIF($E$9:$E$15,"&lt;="&amp;E13,$C$9:$C$15)</f>
        <v/>
      </c>
      <c r="I13" s="20">
        <f>IF(C13=0,"-",IF(G13&gt;0.25,"RED: large cliff vs float",IF(G13&gt;0.1,"AMBER: watch","OK")))</f>
        <v/>
      </c>
      <c r="J13" s="10" t="inlineStr"/>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2026-10-29T09:39:32Z</dcterms:created>
  <dcterms:modified xmlns:dcterms="http://purl.org/dc/terms/" xmlns:xsi="http://www.w3.org/2001/XMLSchema-instance" xsi:type="dcterms:W3CDTF">2026-10-29T09:39:32Z</dcterms:modified>
</cp:coreProperties>
</file>