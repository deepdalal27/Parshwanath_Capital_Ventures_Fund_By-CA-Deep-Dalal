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dd-mmm-yyyy"/>
    <numFmt numFmtId="165" formatCode="yyyy-mm-dd"/>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4" fontId="6" fillId="2" borderId="1" pivotButton="0" quotePrefix="0" xfId="0"/>
    <xf numFmtId="164"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Maxwell Engineering Solutions Limited</t>
        </is>
      </c>
      <c r="D5" s="8" t="inlineStr"/>
    </row>
    <row r="6">
      <c r="B6" s="6" t="inlineStr">
        <is>
          <t>Platform</t>
        </is>
      </c>
      <c r="C6" s="7" t="inlineStr">
        <is>
          <t>SME</t>
        </is>
      </c>
      <c r="D6" s="8" t="inlineStr"/>
    </row>
    <row r="7">
      <c r="B7" s="6" t="inlineStr">
        <is>
          <t>Stage</t>
        </is>
      </c>
      <c r="C7" s="9" t="inlineStr">
        <is>
          <t>RHP</t>
        </is>
      </c>
      <c r="D7" s="8" t="inlineStr"/>
    </row>
    <row r="8">
      <c r="B8" s="6" t="inlineStr">
        <is>
          <t>Document date</t>
        </is>
      </c>
      <c r="C8" s="10" t="n"/>
      <c r="D8" s="8" t="inlineStr"/>
    </row>
    <row r="9">
      <c r="B9" s="6" t="inlineStr">
        <is>
          <t>Audited financials up to</t>
        </is>
      </c>
      <c r="C9" s="10" t="n">
        <v>46234</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JDA Capital Services Limited</t>
        </is>
      </c>
      <c r="D14" s="8" t="inlineStr"/>
      <c r="E14" s="14" t="inlineStr">
        <is>
          <t>Compile BRLM track record (CIR/MIRSD/1/2012)</t>
        </is>
      </c>
    </row>
    <row r="15">
      <c r="B15" s="6" t="inlineStr">
        <is>
          <t>Figures from outside the offer document</t>
        </is>
      </c>
      <c r="C15" s="7" t="inlineStr">
        <is>
          <t>RHP not reachable (NSE archive host blocked); figures from public trackers reproducing the offer document</t>
        </is>
      </c>
      <c r="D15" s="8" t="inlineStr"/>
    </row>
    <row r="17">
      <c r="B17" s="4" t="inlineStr">
        <is>
          <t>Trade being underwritten</t>
        </is>
      </c>
    </row>
    <row r="18">
      <c r="B18" s="6" t="inlineStr">
        <is>
          <t>Bid category</t>
        </is>
      </c>
      <c r="C18" s="7" t="inlineStr">
        <is>
          <t>NII / Retail</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10.87</v>
      </c>
      <c r="D5" s="16" t="n">
        <v>22.59</v>
      </c>
      <c r="E5" s="16" t="n">
        <v>30.76</v>
      </c>
      <c r="F5" s="16" t="n">
        <v>12.25</v>
      </c>
      <c r="G5" s="7" t="inlineStr">
        <is>
          <t>Restated total income FY24-26 and 4M to Jul-2026 (HDFC Sky, Chittorgarh, unp.me)</t>
        </is>
      </c>
    </row>
    <row r="6">
      <c r="B6" t="inlineStr">
        <is>
          <t>Other income</t>
        </is>
      </c>
      <c r="C6" s="16" t="n"/>
      <c r="D6" s="16" t="n"/>
      <c r="E6" s="16" t="n"/>
      <c r="F6" s="16" t="n"/>
      <c r="G6" s="7" t="inlineStr"/>
    </row>
    <row r="7">
      <c r="B7" t="inlineStr">
        <is>
          <t>Profit before tax</t>
        </is>
      </c>
      <c r="C7" s="16" t="n"/>
      <c r="D7" s="16" t="n"/>
      <c r="E7" s="16" t="n"/>
      <c r="F7" s="16" t="n"/>
      <c r="G7" s="7" t="inlineStr"/>
    </row>
    <row r="8">
      <c r="B8" t="inlineStr">
        <is>
          <t>Current tax</t>
        </is>
      </c>
      <c r="C8" s="16" t="n"/>
      <c r="D8" s="16" t="n"/>
      <c r="E8" s="16" t="n"/>
      <c r="F8" s="16" t="n"/>
      <c r="G8" s="7" t="inlineStr"/>
    </row>
    <row r="9">
      <c r="B9" t="inlineStr">
        <is>
          <t>Deferred tax</t>
        </is>
      </c>
      <c r="C9" s="16" t="n"/>
      <c r="D9" s="16" t="n"/>
      <c r="E9" s="16" t="n"/>
      <c r="F9" s="16" t="n"/>
      <c r="G9" s="7" t="inlineStr"/>
    </row>
    <row r="10">
      <c r="B10" t="inlineStr">
        <is>
          <t>PAT</t>
        </is>
      </c>
      <c r="C10" s="16" t="n">
        <v>3.16</v>
      </c>
      <c r="D10" s="16" t="n">
        <v>9.18</v>
      </c>
      <c r="E10" s="16" t="n">
        <v>11.86</v>
      </c>
      <c r="F10" s="16" t="n">
        <v>3.05</v>
      </c>
      <c r="G10" s="7" t="inlineStr">
        <is>
          <t>Restated (HDFC Sky, Chittorgarh)</t>
        </is>
      </c>
    </row>
    <row r="11">
      <c r="B11" t="inlineStr">
        <is>
          <t>Cash flow from operations</t>
        </is>
      </c>
      <c r="C11" s="16" t="n"/>
      <c r="D11" s="16" t="n"/>
      <c r="E11" s="16" t="n"/>
      <c r="F11" s="16" t="n"/>
      <c r="G11" s="7" t="inlineStr"/>
    </row>
    <row r="12">
      <c r="B12" t="inlineStr">
        <is>
          <t>Related-party sales</t>
        </is>
      </c>
      <c r="C12" s="16" t="n"/>
      <c r="D12" s="16" t="n"/>
      <c r="E12" s="16" t="n"/>
      <c r="F12" s="16" t="n"/>
      <c r="G12" s="7" t="inlineStr"/>
    </row>
    <row r="13">
      <c r="B13" t="inlineStr">
        <is>
          <t>Related-party purchases (incl. capex)</t>
        </is>
      </c>
      <c r="C13" s="16" t="n"/>
      <c r="D13" s="16" t="n"/>
      <c r="E13" s="16" t="n"/>
      <c r="F13" s="16" t="n"/>
      <c r="G13" s="7" t="inlineStr"/>
    </row>
    <row r="14">
      <c r="B14" t="inlineStr">
        <is>
          <t>Net worth</t>
        </is>
      </c>
      <c r="C14" s="16" t="n">
        <v>3.33</v>
      </c>
      <c r="D14" s="16" t="n">
        <v>13.01</v>
      </c>
      <c r="E14" s="16" t="n">
        <v>24.87</v>
      </c>
      <c r="F14" s="16" t="n">
        <v>27.92</v>
      </c>
      <c r="G14" s="7" t="inlineStr">
        <is>
          <t>Restated (Chanakya Niti FY24-26; Chittorgarh Jul-2026)</t>
        </is>
      </c>
    </row>
    <row r="15">
      <c r="B15" t="inlineStr">
        <is>
          <t>Trade receivables</t>
        </is>
      </c>
      <c r="C15" s="16" t="n"/>
      <c r="D15" s="16" t="n"/>
      <c r="E15" s="16" t="n"/>
      <c r="F15" s="16" t="n"/>
      <c r="G15" s="7" t="inlineStr"/>
    </row>
    <row r="16">
      <c r="B16" t="inlineStr">
        <is>
          <t>Inventory</t>
        </is>
      </c>
      <c r="C16" s="16" t="n"/>
      <c r="D16" s="16" t="n"/>
      <c r="E16" s="16" t="n"/>
      <c r="F16" s="16" t="n"/>
      <c r="G16" s="7" t="inlineStr"/>
    </row>
    <row r="17">
      <c r="B17" t="inlineStr">
        <is>
          <t>Trade payables</t>
        </is>
      </c>
      <c r="C17" s="16" t="n"/>
      <c r="D17" s="16" t="n"/>
      <c r="E17" s="16" t="n"/>
      <c r="F17" s="16" t="n"/>
      <c r="G17" s="7" t="inlineStr"/>
    </row>
    <row r="18">
      <c r="B18" t="inlineStr">
        <is>
          <t>Contingent liabilities</t>
        </is>
      </c>
      <c r="C18" s="16" t="n"/>
      <c r="D18" s="16" t="n"/>
      <c r="E18" s="16" t="n"/>
      <c r="F18" s="16" t="n"/>
      <c r="G18" s="7" t="inlineStr"/>
    </row>
    <row r="19">
      <c r="B19" t="inlineStr">
        <is>
          <t>Goodwill + intangibles</t>
        </is>
      </c>
      <c r="C19" s="16" t="n"/>
      <c r="D19" s="16" t="n"/>
      <c r="E19" s="16" t="n"/>
      <c r="F19" s="16" t="n"/>
      <c r="G19" s="7" t="inlineStr"/>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row>
    <row r="24">
      <c r="B24" t="inlineStr">
        <is>
          <t>Top-10 customers % of revenue</t>
        </is>
      </c>
      <c r="E24" s="17" t="n"/>
    </row>
    <row r="25">
      <c r="B25" t="inlineStr">
        <is>
          <t>Top supplier % of purchases</t>
        </is>
      </c>
      <c r="E25" s="17" t="n"/>
    </row>
    <row r="26">
      <c r="B26" t="inlineStr">
        <is>
          <t>Largest state/country % of revenue</t>
        </is>
      </c>
      <c r="E26" s="17" t="n"/>
    </row>
    <row r="27">
      <c r="B27" t="inlineStr">
        <is>
          <t>Fresh issue net of expenses</t>
        </is>
      </c>
      <c r="E27" s="16" t="n"/>
    </row>
    <row r="28">
      <c r="B28" t="inlineStr">
        <is>
          <t>Promoter weighted avg cost of acquisition (Rs)</t>
        </is>
      </c>
      <c r="E28" s="16" t="n"/>
    </row>
    <row r="29">
      <c r="B29" t="inlineStr">
        <is>
          <t>Offer price / cap (Rs)</t>
        </is>
      </c>
      <c r="E29" s="16" t="n">
        <v>57.64</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trackers</t>
        </is>
      </c>
      <c r="G5" s="27" t="inlineStr">
        <is>
          <t>EPS Rs 11.80 on PAT Rs 11.86 cr and NAV Rs 24.74 on net worth Rs 24.87 cr both imply about 1.005 crore pre-issue shares; post-issue P/E 18.25x at Rs 158 reconciles on 1.370 crore shares.</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OPEN</t>
        </is>
      </c>
      <c r="F6" s="7" t="inlineStr"/>
      <c r="G6" s="27" t="inlineStr">
        <is>
          <t>Operating cash flow not available. Total assets rose to Rs 47.55 cr (Mar-26) and borrowings to Rs 16.73 cr while PAT was Rs 11.86 cr, so part of profit is being reinvested in plant and working capital.</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OPEN</t>
        </is>
      </c>
      <c r="F7" s="7" t="inlineStr"/>
      <c r="G7" s="27" t="inlineStr">
        <is>
          <t>Tax split not available; PAT is 78% of EBITDA, which suggests a concessional tax rate or material other income - to be checked in the RHP.</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OPEN</t>
        </is>
      </c>
      <c r="F8" s="7" t="inlineStr"/>
      <c r="G8" s="27" t="inlineStr">
        <is>
          <t>Related-party transactions not available. The company was incorporated in Sep-2022; whether it took over an earlier promoter business (and on what terms) is not known without the RHP.</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PASS</t>
        </is>
      </c>
      <c r="F9" s="7" t="inlineStr">
        <is>
          <t>objects (trackers)</t>
        </is>
      </c>
      <c r="G9" s="27" t="inlineStr">
        <is>
          <t>Objects Rs 42.80 cr (machinery and lab equipment 18.00 + building 6.50 + debt repayment 4.30 + working capital 14.00) over 36.48 lakh fresh shares = Rs 125 a share after 6% assumed expenses, below the Rs 150 floor.</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OPEN</t>
        </is>
      </c>
      <c r="F11" s="7" t="inlineStr"/>
      <c r="G11" s="27" t="inlineStr">
        <is>
          <t>Goodwill and intangibles not available.</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OPEN</t>
        </is>
      </c>
      <c r="F12" s="7" t="inlineStr"/>
      <c r="G12" s="27" t="inlineStr">
        <is>
          <t>Customer and geographic concentration not available; the company says it exports to 50+ countries. A single plant at Waghodia GIDC, Vadodara.</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OPEN</t>
        </is>
      </c>
      <c r="F13" s="7" t="inlineStr"/>
      <c r="G13" s="27" t="inlineStr">
        <is>
          <t>Contingent liabilities and litigation not available.</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OPEN</t>
        </is>
      </c>
      <c r="F15" s="7" t="inlineStr"/>
      <c r="G15" s="27" t="inlineStr">
        <is>
          <t>Auditor and any qualifications not available.</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N.A.</t>
        </is>
      </c>
      <c r="F17" s="7" t="inlineStr"/>
      <c r="G17" s="27" t="inlineStr">
        <is>
          <t>Fresh issue Rs 57.64 cr: monitoring agency mandatory above Rs 50 cr; to be named in the RHP.</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OPEN</t>
        </is>
      </c>
      <c r="F19" s="7" t="inlineStr"/>
      <c r="G19" s="27" t="inlineStr">
        <is>
          <t>SME eligibility: incorporated Sep-2022, so the operating track record is short; not re-computed from the RHP.</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is>
          <t>JDA Capital Services (sole BRLM): track record not compiled. One tracker names Religo Capital Advisors (DRHP stage).</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2026-10-29T02:19:52Z</dcterms:created>
  <dcterms:modified xmlns:dcterms="http://purl.org/dc/terms/" xmlns:xsi="http://www.w3.org/2001/XMLSchema-instance" xsi:type="dcterms:W3CDTF">2026-10-29T02:19:52Z</dcterms:modified>
</cp:coreProperties>
</file>