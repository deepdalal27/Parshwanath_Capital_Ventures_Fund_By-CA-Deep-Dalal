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Allocation" sheetId="3" state="visible" r:id="rId3"/>
    <sheet xmlns:r="http://schemas.openxmlformats.org/officeDocument/2006/relationships" name="Overhang" sheetId="4" state="visible" r:id="rId4"/>
  </sheets>
  <definedNames/>
  <calcPr calcId="124519" fullCalcOnLoad="1"/>
</workbook>
</file>

<file path=xl/styles.xml><?xml version="1.0" encoding="utf-8"?>
<styleSheet xmlns="http://schemas.openxmlformats.org/spreadsheetml/2006/main">
  <numFmts count="4">
    <numFmt numFmtId="164" formatCode="0.00&quot;x&quot;"/>
    <numFmt numFmtId="165" formatCode="yyyy-mm-dd"/>
    <numFmt numFmtId="166" formatCode="dd-mmm-yyyy"/>
    <numFmt numFmtId="167" formatCode="0.0"/>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b val="1"/>
      <color rgb="00FFFFFF"/>
      <sz val="10"/>
    </font>
    <font>
      <b val="1"/>
      <color rgb="001F3864"/>
      <sz val="11"/>
    </font>
    <font>
      <name val="Calibri"/>
      <color rgb="00000000"/>
      <sz val="10"/>
    </font>
    <font>
      <name val="Calibri"/>
      <color rgb="000000FF"/>
      <sz val="10"/>
    </font>
    <font>
      <name val="Calibri"/>
      <color rgb="00008000"/>
      <sz val="10"/>
    </font>
  </fonts>
  <fills count="5">
    <fill>
      <patternFill/>
    </fill>
    <fill>
      <patternFill patternType="gray125"/>
    </fill>
    <fill>
      <patternFill patternType="solid">
        <fgColor rgb="001F3864"/>
      </patternFill>
    </fill>
    <fill>
      <patternFill patternType="solid">
        <fgColor rgb="00EAF1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5" fillId="0" borderId="0" pivotButton="0" quotePrefix="0" xfId="0"/>
    <xf numFmtId="0" fontId="2" fillId="0" borderId="0" applyAlignment="1" pivotButton="0" quotePrefix="0" xfId="0">
      <alignment vertical="top" wrapText="1"/>
    </xf>
    <xf numFmtId="0" fontId="4" fillId="2" borderId="1" applyAlignment="1" pivotButton="0" quotePrefix="0" xfId="0">
      <alignment vertical="center" wrapText="1"/>
    </xf>
    <xf numFmtId="0" fontId="6" fillId="0" borderId="0" pivotButton="0" quotePrefix="0" xfId="0"/>
    <xf numFmtId="0" fontId="7" fillId="3" borderId="1" pivotButton="0" quotePrefix="0" xfId="0"/>
    <xf numFmtId="0" fontId="2" fillId="0" borderId="0" pivotButton="0" quotePrefix="0" xfId="0"/>
    <xf numFmtId="0" fontId="2" fillId="0" borderId="0" applyAlignment="1" pivotButton="0" quotePrefix="0" xfId="0">
      <alignment vertical="top"/>
    </xf>
    <xf numFmtId="4" fontId="7" fillId="3" borderId="1" pivotButton="0" quotePrefix="0" xfId="0"/>
    <xf numFmtId="10" fontId="7" fillId="3" borderId="1" pivotButton="0" quotePrefix="0" xfId="0"/>
    <xf numFmtId="4" fontId="7" fillId="4" borderId="1" pivotButton="0" quotePrefix="0" xfId="0"/>
    <xf numFmtId="164" fontId="7" fillId="3" borderId="1" pivotButton="0" quotePrefix="0" xfId="0"/>
    <xf numFmtId="3" fontId="7" fillId="3" borderId="1" pivotButton="0" quotePrefix="0" xfId="0"/>
    <xf numFmtId="166" fontId="7" fillId="3" borderId="1" pivotButton="0" quotePrefix="0" xfId="0"/>
    <xf numFmtId="0" fontId="7" fillId="4" borderId="1" pivotButton="0" quotePrefix="0" xfId="0"/>
    <xf numFmtId="0" fontId="3" fillId="0" borderId="1" pivotButton="0" quotePrefix="0" xfId="0"/>
    <xf numFmtId="4" fontId="6" fillId="0" borderId="1" pivotButton="0" quotePrefix="0" xfId="0"/>
    <xf numFmtId="0" fontId="6" fillId="0" borderId="1" pivotButton="0" quotePrefix="0" xfId="0"/>
    <xf numFmtId="4" fontId="6" fillId="4" borderId="1" pivotButton="0" quotePrefix="0" xfId="0"/>
    <xf numFmtId="10" fontId="6" fillId="0" borderId="1" pivotButton="0" quotePrefix="0" xfId="0"/>
    <xf numFmtId="3" fontId="6" fillId="0" borderId="1" pivotButton="0" quotePrefix="0" xfId="0"/>
    <xf numFmtId="166" fontId="6" fillId="0" borderId="1" pivotButton="0" quotePrefix="0" xfId="0"/>
    <xf numFmtId="167" fontId="6" fillId="0" borderId="1" pivotButton="0" quotePrefix="0" xfId="0"/>
    <xf numFmtId="0" fontId="6" fillId="4" borderId="1" pivotButton="0" quotePrefix="0" xfId="0"/>
    <xf numFmtId="4" fontId="8" fillId="0" borderId="1" pivotButton="0" quotePrefix="0" xfId="0"/>
    <xf numFmtId="3"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0" customWidth="1" min="1" max="1"/>
  </cols>
  <sheetData>
    <row r="1" ht="24" customHeight="1">
      <c r="A1" s="1" t="inlineStr">
        <is>
          <t>Anchor &amp; QIB Economics Calculator</t>
        </is>
      </c>
    </row>
    <row r="2" ht="20" customHeight="1">
      <c r="A2" s="2" t="inlineStr">
        <is>
          <t>Parshwanath Capital Ventures Fund | SEBI Registered CAT III AIF | IN/AIF3/25-26/2108 | Fund Manager: CA Deep Dalal | Sponsor: Jignesh Shah</t>
        </is>
      </c>
    </row>
    <row r="4">
      <c r="A4" t="inlineStr">
        <is>
          <t>Purpose: size the anchor pool, estimate our discretionary allotment, model exits at the 30/90-day</t>
        </is>
      </c>
    </row>
    <row r="5">
      <c r="A5" t="inlineStr">
        <is>
          <t>lock-in expiries, compare with a non-anchor QIB bid sold on listing day, and map supply overhang.</t>
        </is>
      </c>
    </row>
    <row r="6">
      <c r="A6" t="inlineStr"/>
    </row>
    <row r="7">
      <c r="A7" t="inlineStr">
        <is>
          <t>How to use: 1) Fill every blue cell on 'Inputs' from the RHP (cite the page in column F).</t>
        </is>
      </c>
    </row>
    <row r="8">
      <c r="A8" t="inlineStr">
        <is>
          <t xml:space="preserve">            2) Read 'Allocation' (pool, allotment, scenario returns, exit-route check).</t>
        </is>
      </c>
    </row>
    <row r="9">
      <c r="A9" t="inlineStr">
        <is>
          <t xml:space="preserve">            3) Fill 'Overhang' rows from the RHP capital-structure / lock-in table.</t>
        </is>
      </c>
    </row>
    <row r="10">
      <c r="A10" t="inlineStr"/>
    </row>
    <row r="11">
      <c r="A11" t="inlineStr">
        <is>
          <t>Colours: blue = input | black = formula | green = link from another sheet | yellow = key cell.</t>
        </is>
      </c>
    </row>
    <row r="12">
      <c r="A12" t="inlineStr">
        <is>
          <t>Units: Rs crore unless stated. Share counts on 'Overhang' are in lakh.</t>
        </is>
      </c>
    </row>
    <row r="13">
      <c r="A13" t="inlineStr"/>
    </row>
    <row r="14">
      <c r="A14" t="inlineStr">
        <is>
          <t>Anchor allocation is DISCRETIONARY (issuer + BRLM). A favourable call is not an allotment.</t>
        </is>
      </c>
    </row>
    <row r="15">
      <c r="A15" t="inlineStr">
        <is>
          <t>Anchor shares are locked in: 50% for 30 days and 50% for 90 days from allotment.</t>
        </is>
      </c>
    </row>
    <row r="16">
      <c r="A16" t="inlineStr">
        <is>
          <t>Returns are pre-tax. Tax character for a CAT III AIF depends on the PPM; refer out.</t>
        </is>
      </c>
    </row>
    <row r="17">
      <c r="A17" t="inlineStr"/>
    </row>
    <row r="18">
      <c r="A18" s="3" t="inlineStr">
        <is>
          <t>Issuer build: figures from the offer document (page cites in notes). BLANK cell = declared data gap.</t>
        </is>
      </c>
    </row>
    <row r="19">
      <c r="A19" t="inlineStr"/>
    </row>
    <row r="20">
      <c r="A20"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22">
      <c r="A22" s="4" t="inlineStr">
        <is>
          <t>Disclaimer and disclosures</t>
        </is>
      </c>
    </row>
    <row r="23" ht="45" customHeight="1">
      <c r="A23"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4" ht="60" customHeight="1">
      <c r="A24"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5" ht="45" customHeight="1">
      <c r="A25"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6" ht="75" customHeight="1">
      <c r="A26"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7" ht="45" customHeight="1">
      <c r="A27"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8" ht="45" customHeight="1">
      <c r="A28"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9" ht="15" customHeight="1">
      <c r="A29" s="5" t="inlineStr">
        <is>
          <t>Investments in securities market are subject to market risks. Read all the related documents carefully before investing.</t>
        </is>
      </c>
    </row>
    <row r="30" ht="15" customHeight="1">
      <c r="A30" s="5" t="inlineStr">
        <is>
          <t>Registration granted by SEBI in no way guarantees performance of the Fund or its Manager or provides any assurance of returns to investors.</t>
        </is>
      </c>
    </row>
    <row r="31" ht="15" customHeight="1">
      <c r="A31"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2" customWidth="1" min="1" max="1"/>
    <col width="44" customWidth="1" min="2" max="2"/>
    <col width="26" customWidth="1" min="3" max="3"/>
    <col width="12" customWidth="1" min="4" max="4"/>
    <col width="14" customWidth="1" min="5" max="5"/>
    <col width="70" customWidth="1" min="6" max="6"/>
  </cols>
  <sheetData>
    <row r="1" ht="24" customHeight="1">
      <c r="A1" s="1" t="inlineStr">
        <is>
          <t>Inputs - from the offer document (blue cells only)</t>
        </is>
      </c>
    </row>
    <row r="2" ht="20" customHeight="1">
      <c r="A2" s="2" t="inlineStr">
        <is>
          <t>Parshwanath Capital Ventures Fund | SEBI Registered CAT III AIF | IN/AIF3/25-26/2108 | Fund Manager: CA Deep Dalal | Sponsor: Jignesh Shah</t>
        </is>
      </c>
    </row>
    <row r="3">
      <c r="A3" s="6" t="inlineStr"/>
      <c r="B3" s="6" t="inlineStr">
        <is>
          <t>Item</t>
        </is>
      </c>
      <c r="C3" s="6" t="inlineStr">
        <is>
          <t>Value</t>
        </is>
      </c>
      <c r="D3" s="6" t="inlineStr">
        <is>
          <t>Unit</t>
        </is>
      </c>
      <c r="E3" s="6" t="inlineStr">
        <is>
          <t>Hint / page cite</t>
        </is>
      </c>
    </row>
    <row r="4">
      <c r="B4" s="4" t="inlineStr">
        <is>
          <t>Issue</t>
        </is>
      </c>
    </row>
    <row r="5">
      <c r="B5" s="7" t="inlineStr">
        <is>
          <t>Issuer</t>
        </is>
      </c>
      <c r="C5" s="8" t="inlineStr">
        <is>
          <t>Maxwell Engineering Solutions Limited</t>
        </is>
      </c>
      <c r="D5" s="9" t="inlineStr"/>
      <c r="E5" s="10" t="inlineStr">
        <is>
          <t>Name as per RHP</t>
        </is>
      </c>
    </row>
    <row r="6">
      <c r="B6" s="7" t="inlineStr">
        <is>
          <t>Platform</t>
        </is>
      </c>
      <c r="C6" s="8" t="inlineStr">
        <is>
          <t>SME</t>
        </is>
      </c>
      <c r="D6" s="9" t="inlineStr"/>
      <c r="E6" s="10" t="inlineStr">
        <is>
          <t>Mainboard / SME</t>
        </is>
      </c>
    </row>
    <row r="7">
      <c r="B7" s="7" t="inlineStr">
        <is>
          <t>Final offer price</t>
        </is>
      </c>
      <c r="C7" s="11" t="n">
        <v>158</v>
      </c>
      <c r="D7" s="9" t="inlineStr">
        <is>
          <t>Rs/share</t>
        </is>
      </c>
    </row>
    <row r="8">
      <c r="B8" s="7" t="inlineStr">
        <is>
          <t>Anchor allocation price</t>
        </is>
      </c>
      <c r="C8" s="11" t="n">
        <v>158</v>
      </c>
      <c r="D8" s="9" t="inlineStr">
        <is>
          <t>Rs/share</t>
        </is>
      </c>
      <c r="E8" s="10" t="inlineStr">
        <is>
          <t>If offer price &gt; anchor price, anchors pay the difference; if lower, no refund</t>
        </is>
      </c>
    </row>
    <row r="9">
      <c r="B9" s="7" t="inlineStr">
        <is>
          <t>Total issue size</t>
        </is>
      </c>
      <c r="C9" s="11" t="n">
        <v>57.64</v>
      </c>
      <c r="D9" s="9" t="inlineStr">
        <is>
          <t>Rs cr</t>
        </is>
      </c>
      <c r="E9" s="10" t="inlineStr">
        <is>
          <t>Fresh + OFS</t>
        </is>
      </c>
    </row>
    <row r="10">
      <c r="B10" s="7" t="inlineStr">
        <is>
          <t>Employee reservation</t>
        </is>
      </c>
      <c r="C10" s="11" t="n">
        <v>0</v>
      </c>
      <c r="D10" s="9" t="inlineStr">
        <is>
          <t>Rs cr</t>
        </is>
      </c>
    </row>
    <row r="11">
      <c r="B11" s="7" t="inlineStr">
        <is>
          <t>Shareholder reservation</t>
        </is>
      </c>
      <c r="C11" s="11" t="n">
        <v>0</v>
      </c>
      <c r="D11" s="9" t="inlineStr">
        <is>
          <t>Rs cr</t>
        </is>
      </c>
    </row>
    <row r="13">
      <c r="B13" s="4" t="inlineStr">
        <is>
          <t>Net-offer split (confirm from 'Offer Structure' chapter)</t>
        </is>
      </c>
    </row>
    <row r="14">
      <c r="B14" s="7" t="inlineStr">
        <is>
          <t>QIB portion</t>
        </is>
      </c>
      <c r="C14" s="12" t="n">
        <v>0.5</v>
      </c>
      <c r="D14" s="9" t="inlineStr"/>
      <c r="E14" s="10" t="inlineStr">
        <is>
          <t>Reg 6(1): not more than 50%; Reg 6(2): at least 75%</t>
        </is>
      </c>
    </row>
    <row r="15">
      <c r="B15" s="7" t="inlineStr">
        <is>
          <t>Non-institutional portion</t>
        </is>
      </c>
      <c r="C15" s="12" t="n">
        <v>0.15</v>
      </c>
      <c r="D15" s="9" t="inlineStr"/>
    </row>
    <row r="16">
      <c r="B16" s="7" t="inlineStr">
        <is>
          <t>Retail portion</t>
        </is>
      </c>
      <c r="C16" s="12" t="n">
        <v>0.35</v>
      </c>
      <c r="D16" s="9" t="inlineStr"/>
    </row>
    <row r="17">
      <c r="B17" s="7" t="inlineStr">
        <is>
          <t>Anchor share of QIB portion</t>
        </is>
      </c>
      <c r="C17" s="12" t="n">
        <v>0.6</v>
      </c>
      <c r="D17" s="9" t="inlineStr"/>
      <c r="E17" s="10" t="inlineStr">
        <is>
          <t>Maximum 60% of the QIB portion</t>
        </is>
      </c>
    </row>
    <row r="18">
      <c r="B18" s="7" t="inlineStr">
        <is>
          <t>Anchor reserved: domestic MFs</t>
        </is>
      </c>
      <c r="C18" s="12" t="n">
        <v>0.3333</v>
      </c>
      <c r="D18" s="9" t="inlineStr"/>
      <c r="E18" s="10" t="inlineStr">
        <is>
          <t>One-third of anchor portion</t>
        </is>
      </c>
    </row>
    <row r="19">
      <c r="B19" s="7" t="inlineStr">
        <is>
          <t>Anchor reserved: insurers &amp; pension funds</t>
        </is>
      </c>
      <c r="C19" s="12" t="n">
        <v>0.0667</v>
      </c>
      <c r="D19" s="9" t="inlineStr"/>
      <c r="E19" s="10" t="inlineStr">
        <is>
          <t>Per current ICDR amendment - CONFIRM split from the offer document</t>
        </is>
      </c>
    </row>
    <row r="20">
      <c r="B20" s="7" t="inlineStr">
        <is>
          <t>Net QIB reserved: MFs</t>
        </is>
      </c>
      <c r="C20" s="12" t="n">
        <v>0.05</v>
      </c>
      <c r="D20" s="9" t="inlineStr"/>
      <c r="E20" s="10" t="inlineStr">
        <is>
          <t>5% of net QIB portion</t>
        </is>
      </c>
    </row>
    <row r="22">
      <c r="B22" s="4" t="inlineStr">
        <is>
          <t>Our bid</t>
        </is>
      </c>
    </row>
    <row r="23">
      <c r="B23" s="7" t="inlineStr">
        <is>
          <t>Minimum anchor application</t>
        </is>
      </c>
      <c r="C23" s="11" t="n">
        <v>10</v>
      </c>
      <c r="D23" s="9" t="inlineStr">
        <is>
          <t>Rs cr</t>
        </is>
      </c>
      <c r="E23" s="10" t="inlineStr">
        <is>
          <t>Mainboard Rs 10 cr - confirm platform limit in the offer document</t>
        </is>
      </c>
    </row>
    <row r="24">
      <c r="B24" s="7" t="inlineStr">
        <is>
          <t>Our anchor bid</t>
        </is>
      </c>
      <c r="C24" s="13" t="n">
        <v>25</v>
      </c>
      <c r="D24" s="9" t="inlineStr">
        <is>
          <t>Rs cr</t>
        </is>
      </c>
    </row>
    <row r="25">
      <c r="B25" s="7" t="inlineStr">
        <is>
          <t>Assumed allotment as % of bid</t>
        </is>
      </c>
      <c r="C25" s="12" t="n">
        <v>0.6</v>
      </c>
      <c r="D25" s="9" t="inlineStr"/>
      <c r="E25" s="10" t="inlineStr">
        <is>
          <t>Discretionary - assumption, not entitlement</t>
        </is>
      </c>
    </row>
    <row r="26">
      <c r="B26" s="7" t="inlineStr">
        <is>
          <t>Alternative: non-anchor QIB (ASBA) bid</t>
        </is>
      </c>
      <c r="C26" s="11" t="n">
        <v>25</v>
      </c>
      <c r="D26" s="9" t="inlineStr">
        <is>
          <t>Rs cr</t>
        </is>
      </c>
    </row>
    <row r="27">
      <c r="B27" s="7" t="inlineStr">
        <is>
          <t>Expected QIB (ex-anchor) subscription</t>
        </is>
      </c>
      <c r="C27" s="14" t="n">
        <v>50</v>
      </c>
      <c r="D27" s="9" t="inlineStr"/>
      <c r="E27" s="10" t="inlineStr">
        <is>
          <t>Allotment roughly proportionate: bid / subscription</t>
        </is>
      </c>
    </row>
    <row r="28">
      <c r="B28" s="7" t="inlineStr">
        <is>
          <t>Days ASBA funds blocked</t>
        </is>
      </c>
      <c r="C28" s="15" t="n">
        <v>6</v>
      </c>
      <c r="D28" s="9" t="inlineStr">
        <is>
          <t>days</t>
        </is>
      </c>
      <c r="E28" s="10" t="inlineStr">
        <is>
          <t>Issue open to listing</t>
        </is>
      </c>
    </row>
    <row r="30">
      <c r="B30" s="4" t="inlineStr">
        <is>
          <t>Dates and costs</t>
        </is>
      </c>
    </row>
    <row r="31">
      <c r="B31" s="7" t="inlineStr">
        <is>
          <t>Anchor bid / pay-in date</t>
        </is>
      </c>
      <c r="C31" s="16" t="n">
        <v>46324</v>
      </c>
      <c r="D31" s="9" t="inlineStr"/>
      <c r="E31" s="10" t="inlineStr">
        <is>
          <t>One working day before issue opens</t>
        </is>
      </c>
    </row>
    <row r="32">
      <c r="B32" s="7" t="inlineStr">
        <is>
          <t>Allotment date (basis of allotment)</t>
        </is>
      </c>
      <c r="C32" s="16" t="n">
        <v>46330</v>
      </c>
      <c r="D32" s="9" t="inlineStr"/>
      <c r="E32" s="10" t="inlineStr">
        <is>
          <t>Lock-in runs from this date</t>
        </is>
      </c>
    </row>
    <row r="33">
      <c r="B33" s="7" t="inlineStr">
        <is>
          <t>Listing date</t>
        </is>
      </c>
      <c r="C33" s="16" t="n">
        <v>46332</v>
      </c>
      <c r="D33" s="9" t="inlineStr"/>
    </row>
    <row r="34">
      <c r="B34" s="7" t="inlineStr">
        <is>
          <t>Lock-in tranche 1 share</t>
        </is>
      </c>
      <c r="C34" s="12" t="n">
        <v>0.5</v>
      </c>
      <c r="D34" s="9" t="inlineStr"/>
    </row>
    <row r="35">
      <c r="B35" s="7" t="inlineStr">
        <is>
          <t>Lock-in tranche 1 days</t>
        </is>
      </c>
      <c r="C35" s="15" t="n">
        <v>30</v>
      </c>
      <c r="D35" s="9" t="inlineStr">
        <is>
          <t>days</t>
        </is>
      </c>
    </row>
    <row r="36">
      <c r="B36" s="7" t="inlineStr">
        <is>
          <t>Lock-in tranche 2 days</t>
        </is>
      </c>
      <c r="C36" s="15" t="n">
        <v>90</v>
      </c>
      <c r="D36" s="9" t="inlineStr">
        <is>
          <t>days</t>
        </is>
      </c>
    </row>
    <row r="37">
      <c r="B37" s="7" t="inlineStr">
        <is>
          <t>Cost of funds / opportunity cost</t>
        </is>
      </c>
      <c r="C37" s="12" t="n">
        <v>0.09</v>
      </c>
      <c r="D37" s="9" t="inlineStr">
        <is>
          <t>p.a.</t>
        </is>
      </c>
      <c r="E37" s="10" t="inlineStr">
        <is>
          <t>Anchor money is PAID, not blocked</t>
        </is>
      </c>
    </row>
    <row r="38">
      <c r="B38" s="7" t="inlineStr">
        <is>
          <t>Exit transaction cost (brokerage+STT+other)</t>
        </is>
      </c>
      <c r="C38" s="12" t="n">
        <v>0.0025</v>
      </c>
      <c r="D38" s="9" t="inlineStr"/>
      <c r="E38" s="10" t="inlineStr">
        <is>
          <t>On sale value</t>
        </is>
      </c>
    </row>
    <row r="39">
      <c r="B39" s="7" t="inlineStr">
        <is>
          <t>Planned exit route</t>
        </is>
      </c>
      <c r="C39" s="17" t="inlineStr">
        <is>
          <t>Lock-in expiry (30/90 days)</t>
        </is>
      </c>
      <c r="D39" s="9" t="inlineStr"/>
    </row>
    <row r="41">
      <c r="B41" s="3" t="inlineStr">
        <is>
          <t>Price path vs offer price (illustrative)</t>
        </is>
      </c>
    </row>
    <row r="42">
      <c r="B42" s="6" t="inlineStr">
        <is>
          <t>Scenario</t>
        </is>
      </c>
      <c r="C42" s="6" t="inlineStr">
        <is>
          <t>Listing day</t>
        </is>
      </c>
      <c r="D42" s="6" t="inlineStr">
        <is>
          <t>Day 30</t>
        </is>
      </c>
      <c r="E42" s="6" t="inlineStr">
        <is>
          <t>Day 90</t>
        </is>
      </c>
    </row>
    <row r="43">
      <c r="B43" s="18" t="inlineStr">
        <is>
          <t>Bear</t>
        </is>
      </c>
      <c r="C43" s="12" t="n"/>
      <c r="D43" s="12" t="n"/>
      <c r="E43" s="12" t="n"/>
    </row>
    <row r="44">
      <c r="B44" s="18" t="inlineStr">
        <is>
          <t>Neutral</t>
        </is>
      </c>
      <c r="C44" s="12" t="n"/>
      <c r="D44" s="12" t="n"/>
      <c r="E44" s="12" t="n"/>
    </row>
    <row r="45">
      <c r="B45" s="18" t="inlineStr">
        <is>
          <t>Bull</t>
        </is>
      </c>
      <c r="C45" s="12" t="n"/>
      <c r="D45" s="12" t="n"/>
      <c r="E45" s="12" t="n"/>
    </row>
    <row r="46">
      <c r="B46" s="10" t="inlineStr">
        <is>
          <t>Grey market premium is market colour only - never use it to move fair value.</t>
        </is>
      </c>
    </row>
  </sheetData>
  <dataValidations count="2">
    <dataValidation sqref="C6" showDropDown="0" showInputMessage="0" showErrorMessage="0" allowBlank="1" type="list">
      <formula1>"Mainboard,SME"</formula1>
    </dataValidation>
    <dataValidation sqref="C39" showDropDown="0" showInputMessage="0" showErrorMessage="0" allowBlank="1" type="list">
      <formula1>"Listing day,Lock-in expiry (30/90 days),2-3 year hold"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63"/>
  <sheetViews>
    <sheetView showGridLines="0" workbookViewId="0">
      <selection activeCell="A1" sqref="A1"/>
    </sheetView>
  </sheetViews>
  <sheetFormatPr baseColWidth="8" defaultRowHeight="15"/>
  <cols>
    <col width="2" customWidth="1" min="1" max="1"/>
    <col width="50" customWidth="1" min="2" max="2"/>
    <col width="30" customWidth="1" min="3" max="3"/>
    <col width="16" customWidth="1" min="4" max="4"/>
    <col width="16" customWidth="1" min="5" max="5"/>
    <col width="50" customWidth="1" min="6" max="6"/>
  </cols>
  <sheetData>
    <row r="1" ht="24" customHeight="1">
      <c r="A1" s="1" t="inlineStr">
        <is>
          <t>Anchor pool, our allotment, and exit returns</t>
        </is>
      </c>
    </row>
    <row r="2" ht="20" customHeight="1">
      <c r="A2" s="2" t="inlineStr">
        <is>
          <t>Parshwanath Capital Ventures Fund | SEBI Registered CAT III AIF | IN/AIF3/25-26/2108 | Fund Manager: CA Deep Dalal | Sponsor: Jignesh Shah</t>
        </is>
      </c>
    </row>
    <row r="4">
      <c r="B4" s="4" t="inlineStr">
        <is>
          <t>Issue structure (Rs cr)</t>
        </is>
      </c>
    </row>
    <row r="5">
      <c r="B5" s="7" t="inlineStr">
        <is>
          <t>Net offer</t>
        </is>
      </c>
      <c r="C5" s="19">
        <f>'Inputs'!$C$9-'Inputs'!$C$10-'Inputs'!$C$11</f>
        <v/>
      </c>
      <c r="D5" s="9" t="inlineStr"/>
    </row>
    <row r="6">
      <c r="B6" s="7" t="inlineStr">
        <is>
          <t>QIB portion</t>
        </is>
      </c>
      <c r="C6" s="19">
        <f>'Allocation'!$C$5*'Inputs'!$C$14</f>
        <v/>
      </c>
      <c r="D6" s="9" t="inlineStr"/>
    </row>
    <row r="7">
      <c r="B7" s="7" t="inlineStr">
        <is>
          <t>Non-institutional portion</t>
        </is>
      </c>
      <c r="C7" s="19">
        <f>'Allocation'!$C$5*'Inputs'!$C$15</f>
        <v/>
      </c>
      <c r="D7" s="9" t="inlineStr"/>
    </row>
    <row r="8">
      <c r="B8" s="7" t="inlineStr">
        <is>
          <t>Retail portion</t>
        </is>
      </c>
      <c r="C8" s="19">
        <f>'Allocation'!$C$5*'Inputs'!$C$16</f>
        <v/>
      </c>
      <c r="D8" s="9" t="inlineStr"/>
    </row>
    <row r="9">
      <c r="B9" s="7" t="inlineStr">
        <is>
          <t>Split check (must total 100%)</t>
        </is>
      </c>
      <c r="C9" s="20">
        <f>IF(ABS('Inputs'!$C$14+'Inputs'!$C$15+'Inputs'!$C$16-1)&lt;0.0001,"OK","RED: portions do not total 100%")</f>
        <v/>
      </c>
      <c r="D9" s="9" t="inlineStr"/>
    </row>
    <row r="10">
      <c r="B10" s="7" t="inlineStr">
        <is>
          <t>Anchor portion</t>
        </is>
      </c>
      <c r="C10" s="21">
        <f>'Allocation'!$C$6*'Inputs'!$C$17</f>
        <v/>
      </c>
      <c r="D10" s="9" t="inlineStr"/>
    </row>
    <row r="11">
      <c r="B11" s="7" t="inlineStr">
        <is>
          <t>Anchor cap check</t>
        </is>
      </c>
      <c r="C11" s="20">
        <f>IF('Inputs'!$C$17&lt;=0.6,"OK","RED: anchor above 60% of QIB")</f>
        <v/>
      </c>
      <c r="D11" s="9" t="inlineStr"/>
    </row>
    <row r="12">
      <c r="B12" s="7" t="inlineStr">
        <is>
          <t xml:space="preserve">  of which reserved for domestic MFs</t>
        </is>
      </c>
      <c r="C12" s="19">
        <f>'Allocation'!$C$10*'Inputs'!$C$18</f>
        <v/>
      </c>
      <c r="D12" s="9" t="inlineStr"/>
    </row>
    <row r="13">
      <c r="B13" s="7" t="inlineStr">
        <is>
          <t xml:space="preserve">  of which reserved for insurers &amp; pension funds</t>
        </is>
      </c>
      <c r="C13" s="19">
        <f>'Allocation'!$C$10*'Inputs'!$C$19</f>
        <v/>
      </c>
      <c r="D13" s="9" t="inlineStr"/>
    </row>
    <row r="14">
      <c r="B14" s="7" t="inlineStr">
        <is>
          <t xml:space="preserve">  open anchor pool (where an AIF competes)</t>
        </is>
      </c>
      <c r="C14" s="21">
        <f>'Allocation'!$C$10-'Allocation'!$C$12-'Allocation'!$C$13</f>
        <v/>
      </c>
      <c r="D14" s="9" t="inlineStr"/>
    </row>
    <row r="15">
      <c r="B15" s="7" t="inlineStr">
        <is>
          <t>Net QIB (after anchor)</t>
        </is>
      </c>
      <c r="C15" s="19">
        <f>'Allocation'!$C$6-'Allocation'!$C$10</f>
        <v/>
      </c>
      <c r="D15" s="9" t="inlineStr"/>
    </row>
    <row r="16">
      <c r="B16" s="7" t="inlineStr">
        <is>
          <t xml:space="preserve">  of which reserved for MFs</t>
        </is>
      </c>
      <c r="C16" s="19">
        <f>'Allocation'!$C$15*'Inputs'!$C$20</f>
        <v/>
      </c>
      <c r="D16" s="9" t="inlineStr"/>
    </row>
    <row r="17">
      <c r="B17" s="7" t="inlineStr">
        <is>
          <t>Anchor book size (lakh shares)</t>
        </is>
      </c>
      <c r="C17" s="19">
        <f>'Allocation'!$C$10*100/'Inputs'!$C$8</f>
        <v/>
      </c>
      <c r="D17" s="9" t="inlineStr"/>
    </row>
    <row r="19">
      <c r="B19" s="4" t="inlineStr">
        <is>
          <t>Our anchor allotment</t>
        </is>
      </c>
    </row>
    <row r="20">
      <c r="B20" s="7" t="inlineStr">
        <is>
          <t>Our bid as % of open anchor pool</t>
        </is>
      </c>
      <c r="C20" s="22">
        <f>'Inputs'!$C$24/'Allocation'!$C$14</f>
        <v/>
      </c>
      <c r="D20" s="9" t="inlineStr"/>
    </row>
    <row r="21">
      <c r="B21" s="7" t="inlineStr">
        <is>
          <t>Bid size check</t>
        </is>
      </c>
      <c r="C21" s="20">
        <f>IF('Inputs'!$C$24&lt;'Inputs'!$C$23,"RED: below minimum anchor application",IF('Inputs'!$C$24&gt;'Allocation'!$C$14,"RED: bid exceeds open anchor pool","OK"))</f>
        <v/>
      </c>
      <c r="D21" s="9" t="inlineStr"/>
    </row>
    <row r="22">
      <c r="B22" s="7" t="inlineStr">
        <is>
          <t>Assumed allotment (Rs cr)</t>
        </is>
      </c>
      <c r="C22" s="19">
        <f>MIN('Inputs'!$C$24*'Inputs'!$C$25,'Allocation'!$C$14)</f>
        <v/>
      </c>
      <c r="D22" s="9" t="inlineStr"/>
    </row>
    <row r="23">
      <c r="B23" s="7" t="inlineStr">
        <is>
          <t>Effective cost per share</t>
        </is>
      </c>
      <c r="C23" s="19">
        <f>MAX('Inputs'!$C$8,'Inputs'!$C$7)</f>
        <v/>
      </c>
      <c r="D23" s="9" t="inlineStr">
        <is>
          <t>Rs</t>
        </is>
      </c>
      <c r="E23" s="10" t="inlineStr">
        <is>
          <t>Anchors top up if offer price exceeds anchor price</t>
        </is>
      </c>
    </row>
    <row r="24">
      <c r="B24" s="7" t="inlineStr">
        <is>
          <t>Shares allotted</t>
        </is>
      </c>
      <c r="C24" s="23">
        <f>ROUNDDOWN('Allocation'!$C$22*10^7/'Inputs'!$C$8,0)</f>
        <v/>
      </c>
      <c r="D24" s="9" t="inlineStr"/>
    </row>
    <row r="25">
      <c r="B25" s="7" t="inlineStr">
        <is>
          <t>Total cost (Rs cr)</t>
        </is>
      </c>
      <c r="C25" s="19">
        <f>'Allocation'!$C$24*'Allocation'!$C$23/10^7</f>
        <v/>
      </c>
      <c r="D25" s="9" t="inlineStr"/>
    </row>
    <row r="26">
      <c r="B26" s="7" t="inlineStr">
        <is>
          <t>Tranche 1 shares</t>
        </is>
      </c>
      <c r="C26" s="23">
        <f>ROUNDDOWN('Allocation'!$C$24*'Inputs'!$C$34,0)</f>
        <v/>
      </c>
      <c r="D26" s="9" t="inlineStr"/>
    </row>
    <row r="27">
      <c r="B27" s="7" t="inlineStr">
        <is>
          <t>Tranche 2 shares</t>
        </is>
      </c>
      <c r="C27" s="23">
        <f>'Allocation'!$C$24-'Allocation'!$C$26</f>
        <v/>
      </c>
      <c r="D27" s="9" t="inlineStr"/>
    </row>
    <row r="28">
      <c r="B28" s="7" t="inlineStr">
        <is>
          <t>Tranche 1 free date</t>
        </is>
      </c>
      <c r="C28" s="24">
        <f>'Inputs'!$C$32+'Inputs'!$C$35</f>
        <v/>
      </c>
      <c r="D28" s="9" t="inlineStr"/>
    </row>
    <row r="29">
      <c r="B29" s="7" t="inlineStr">
        <is>
          <t>Tranche 2 free date</t>
        </is>
      </c>
      <c r="C29" s="24">
        <f>'Inputs'!$C$32+'Inputs'!$C$36</f>
        <v/>
      </c>
      <c r="D29" s="9" t="inlineStr"/>
    </row>
    <row r="30">
      <c r="B30" s="7" t="inlineStr">
        <is>
          <t>Days funds deployed - tranche 1</t>
        </is>
      </c>
      <c r="C30" s="23">
        <f>'Allocation'!$C$28-'Inputs'!$C$31</f>
        <v/>
      </c>
      <c r="D30" s="9" t="inlineStr"/>
    </row>
    <row r="31">
      <c r="B31" s="7" t="inlineStr">
        <is>
          <t>Days funds deployed - tranche 2</t>
        </is>
      </c>
      <c r="C31" s="23">
        <f>'Allocation'!$C$29-'Inputs'!$C$31</f>
        <v/>
      </c>
      <c r="D31" s="9" t="inlineStr"/>
    </row>
    <row r="32">
      <c r="B32" s="7" t="inlineStr">
        <is>
          <t>Funding cost (Rs cr)</t>
        </is>
      </c>
      <c r="C32" s="19">
        <f>('Allocation'!$C$26*'Allocation'!$C$30+'Allocation'!$C$27*'Allocation'!$C$31)*'Allocation'!$C$23/10^7*'Inputs'!$C$37/365</f>
        <v/>
      </c>
      <c r="D32" s="9" t="inlineStr"/>
    </row>
    <row r="33">
      <c r="B33" s="7" t="inlineStr">
        <is>
          <t>Weighted days deployed</t>
        </is>
      </c>
      <c r="C33" s="25">
        <f>('Allocation'!$C$26*'Allocation'!$C$30+'Allocation'!$C$27*'Allocation'!$C$31)/'Allocation'!$C$24</f>
        <v/>
      </c>
      <c r="D33" s="9" t="inlineStr"/>
    </row>
    <row r="35">
      <c r="B35" s="4" t="inlineStr">
        <is>
          <t>Exit-route consistency</t>
        </is>
      </c>
    </row>
    <row r="36">
      <c r="B36" s="7" t="inlineStr">
        <is>
          <t>Anchor bid vs planned exit</t>
        </is>
      </c>
      <c r="C36" s="26">
        <f>IF('Inputs'!$C$39="Listing day","INCONSISTENT: anchor shares are locked in ("&amp;TEXT('Inputs'!$C$34,"0%")&amp;" for "&amp;'Inputs'!$C$35&amp;" days, rest for "&amp;'Inputs'!$C$36&amp;" days) and cannot be sold on listing day. Bid as non-anchor QIB or change the exit plan.","OK: exit plan is compatible with anchor lock-in")</f>
        <v/>
      </c>
      <c r="D36" s="9" t="inlineStr"/>
    </row>
    <row r="37">
      <c r="B37" s="7" t="inlineStr">
        <is>
          <t>Allotment note</t>
        </is>
      </c>
      <c r="C37" s="20" t="inlineStr">
        <is>
          <t>Anchor allotment is discretionary; there is no proportionate entitlement.</t>
        </is>
      </c>
      <c r="D37" s="9" t="inlineStr"/>
    </row>
    <row r="39">
      <c r="B39" s="3" t="inlineStr">
        <is>
          <t>Scenario returns - ANCHOR route (exit at lock-in expiry)</t>
        </is>
      </c>
    </row>
    <row r="40">
      <c r="B40" s="6" t="inlineStr">
        <is>
          <t>Line</t>
        </is>
      </c>
      <c r="C40" s="6" t="inlineStr">
        <is>
          <t>Bear</t>
        </is>
      </c>
      <c r="D40" s="6" t="inlineStr">
        <is>
          <t>Neutral</t>
        </is>
      </c>
      <c r="E40" s="6" t="inlineStr">
        <is>
          <t>Bull</t>
        </is>
      </c>
    </row>
    <row r="41">
      <c r="B41" t="inlineStr">
        <is>
          <t>Listing-day price (Rs)</t>
        </is>
      </c>
      <c r="C41" s="19">
        <f>'Inputs'!$C$7*(1+Inputs!$C$43)</f>
        <v/>
      </c>
      <c r="D41" s="19">
        <f>'Inputs'!$C$7*(1+Inputs!$C$44)</f>
        <v/>
      </c>
      <c r="E41" s="19">
        <f>'Inputs'!$C$7*(1+Inputs!$C$45)</f>
        <v/>
      </c>
    </row>
    <row r="42">
      <c r="B42" t="inlineStr">
        <is>
          <t>Day-30 price (Rs)</t>
        </is>
      </c>
      <c r="C42" s="19">
        <f>'Inputs'!$C$7*(1+Inputs!$D$43)</f>
        <v/>
      </c>
      <c r="D42" s="19">
        <f>'Inputs'!$C$7*(1+Inputs!$D$44)</f>
        <v/>
      </c>
      <c r="E42" s="19">
        <f>'Inputs'!$C$7*(1+Inputs!$D$45)</f>
        <v/>
      </c>
    </row>
    <row r="43">
      <c r="B43" t="inlineStr">
        <is>
          <t>Day-90 price (Rs)</t>
        </is>
      </c>
      <c r="C43" s="19">
        <f>'Inputs'!$C$7*(1+Inputs!$E$43)</f>
        <v/>
      </c>
      <c r="D43" s="19">
        <f>'Inputs'!$C$7*(1+Inputs!$E$44)</f>
        <v/>
      </c>
      <c r="E43" s="19">
        <f>'Inputs'!$C$7*(1+Inputs!$E$45)</f>
        <v/>
      </c>
    </row>
    <row r="44">
      <c r="B44" t="inlineStr">
        <is>
          <t>Mark-to-market on listing day, locked (Rs cr)</t>
        </is>
      </c>
      <c r="C44" s="19">
        <f>'Allocation'!$C$24*C41/10^7-'Allocation'!$C$25</f>
        <v/>
      </c>
      <c r="D44" s="19">
        <f>'Allocation'!$C$24*D41/10^7-'Allocation'!$C$25</f>
        <v/>
      </c>
      <c r="E44" s="19">
        <f>'Allocation'!$C$24*E41/10^7-'Allocation'!$C$25</f>
        <v/>
      </c>
    </row>
    <row r="45">
      <c r="B45" t="inlineStr">
        <is>
          <t>Tranche 1 sale value (Rs cr)</t>
        </is>
      </c>
      <c r="C45" s="19">
        <f>'Allocation'!$C$26*C42/10^7</f>
        <v/>
      </c>
      <c r="D45" s="19">
        <f>'Allocation'!$C$26*D42/10^7</f>
        <v/>
      </c>
      <c r="E45" s="19">
        <f>'Allocation'!$C$26*E42/10^7</f>
        <v/>
      </c>
    </row>
    <row r="46">
      <c r="B46" t="inlineStr">
        <is>
          <t>Tranche 2 sale value (Rs cr)</t>
        </is>
      </c>
      <c r="C46" s="19">
        <f>'Allocation'!$C$27*C43/10^7</f>
        <v/>
      </c>
      <c r="D46" s="19">
        <f>'Allocation'!$C$27*D43/10^7</f>
        <v/>
      </c>
      <c r="E46" s="19">
        <f>'Allocation'!$C$27*E43/10^7</f>
        <v/>
      </c>
    </row>
    <row r="47">
      <c r="B47" t="inlineStr">
        <is>
          <t>Gross sale value (Rs cr)</t>
        </is>
      </c>
      <c r="C47" s="19">
        <f>C45+C46</f>
        <v/>
      </c>
      <c r="D47" s="19">
        <f>D45+D46</f>
        <v/>
      </c>
      <c r="E47" s="19">
        <f>E45+E46</f>
        <v/>
      </c>
    </row>
    <row r="48">
      <c r="B48" t="inlineStr">
        <is>
          <t>Transaction cost (Rs cr)</t>
        </is>
      </c>
      <c r="C48" s="19">
        <f>C47*'Inputs'!$C$38</f>
        <v/>
      </c>
      <c r="D48" s="19">
        <f>D47*'Inputs'!$C$38</f>
        <v/>
      </c>
      <c r="E48" s="19">
        <f>E47*'Inputs'!$C$38</f>
        <v/>
      </c>
    </row>
    <row r="49">
      <c r="B49" t="inlineStr">
        <is>
          <t>Net P&amp;L after funding cost (Rs cr)</t>
        </is>
      </c>
      <c r="C49" s="19">
        <f>C47-C48-'Allocation'!$C$25-'Allocation'!$C$32</f>
        <v/>
      </c>
      <c r="D49" s="19">
        <f>D47-D48-'Allocation'!$C$25-'Allocation'!$C$32</f>
        <v/>
      </c>
      <c r="E49" s="19">
        <f>E47-E48-'Allocation'!$C$25-'Allocation'!$C$32</f>
        <v/>
      </c>
    </row>
    <row r="50">
      <c r="B50" t="inlineStr">
        <is>
          <t>Net return on cost</t>
        </is>
      </c>
      <c r="C50" s="22">
        <f>C49/'Allocation'!$C$25</f>
        <v/>
      </c>
      <c r="D50" s="22">
        <f>D49/'Allocation'!$C$25</f>
        <v/>
      </c>
      <c r="E50" s="22">
        <f>E49/'Allocation'!$C$25</f>
        <v/>
      </c>
    </row>
    <row r="51">
      <c r="B51" t="inlineStr">
        <is>
          <t>Annualised (simple, 365-day)</t>
        </is>
      </c>
      <c r="C51" s="22">
        <f>C50*365/'Allocation'!$C$33</f>
        <v/>
      </c>
      <c r="D51" s="22">
        <f>D50*365/'Allocation'!$C$33</f>
        <v/>
      </c>
      <c r="E51" s="22">
        <f>E50*365/'Allocation'!$C$33</f>
        <v/>
      </c>
    </row>
    <row r="53">
      <c r="B53" s="3" t="inlineStr">
        <is>
          <t>Comparison - NON-ANCHOR QIB route (ASBA, sold on listing day)</t>
        </is>
      </c>
    </row>
    <row r="54">
      <c r="B54" s="6" t="inlineStr">
        <is>
          <t>Line</t>
        </is>
      </c>
      <c r="C54" s="6" t="inlineStr">
        <is>
          <t>Bear</t>
        </is>
      </c>
      <c r="D54" s="6" t="inlineStr">
        <is>
          <t>Neutral</t>
        </is>
      </c>
      <c r="E54" s="6" t="inlineStr">
        <is>
          <t>Bull</t>
        </is>
      </c>
    </row>
    <row r="55">
      <c r="B55" t="inlineStr">
        <is>
          <t>Shares allotted (proportionate estimate)</t>
        </is>
      </c>
      <c r="C55" s="23">
        <f>ROUNDDOWN(MIN('Inputs'!$C$26,'Inputs'!$C$26/'Inputs'!$C$27)*10^7/'Inputs'!$C$7,0)</f>
        <v/>
      </c>
      <c r="D55" s="23">
        <f>ROUNDDOWN(MIN('Inputs'!$C$26,'Inputs'!$C$26/'Inputs'!$C$27)*10^7/'Inputs'!$C$7,0)</f>
        <v/>
      </c>
      <c r="E55" s="23">
        <f>ROUNDDOWN(MIN('Inputs'!$C$26,'Inputs'!$C$26/'Inputs'!$C$27)*10^7/'Inputs'!$C$7,0)</f>
        <v/>
      </c>
    </row>
    <row r="56">
      <c r="B56" t="inlineStr">
        <is>
          <t>Cost (Rs cr)</t>
        </is>
      </c>
      <c r="C56" s="19">
        <f>C55*'Inputs'!$C$7/10^7</f>
        <v/>
      </c>
      <c r="D56" s="19">
        <f>D55*'Inputs'!$C$7/10^7</f>
        <v/>
      </c>
      <c r="E56" s="19">
        <f>E55*'Inputs'!$C$7/10^7</f>
        <v/>
      </c>
    </row>
    <row r="57">
      <c r="B57" t="inlineStr">
        <is>
          <t>Listing-day sale value (Rs cr)</t>
        </is>
      </c>
      <c r="C57" s="19">
        <f>C55*C41/10^7</f>
        <v/>
      </c>
      <c r="D57" s="19">
        <f>D55*D41/10^7</f>
        <v/>
      </c>
      <c r="E57" s="19">
        <f>E55*E41/10^7</f>
        <v/>
      </c>
    </row>
    <row r="58">
      <c r="B58" t="inlineStr">
        <is>
          <t>Opportunity cost of blocked funds (Rs cr)</t>
        </is>
      </c>
      <c r="C58" s="19">
        <f>'Inputs'!$C$26*'Inputs'!$C$37*'Inputs'!$C$28/365</f>
        <v/>
      </c>
      <c r="D58" s="19">
        <f>'Inputs'!$C$26*'Inputs'!$C$37*'Inputs'!$C$28/365</f>
        <v/>
      </c>
      <c r="E58" s="19">
        <f>'Inputs'!$C$26*'Inputs'!$C$37*'Inputs'!$C$28/365</f>
        <v/>
      </c>
    </row>
    <row r="59">
      <c r="B59" t="inlineStr">
        <is>
          <t>Net P&amp;L (Rs cr)</t>
        </is>
      </c>
      <c r="C59" s="19">
        <f>C57*(1-'Inputs'!$C$38)-C56-C58</f>
        <v/>
      </c>
      <c r="D59" s="19">
        <f>D57*(1-'Inputs'!$C$38)-D56-D58</f>
        <v/>
      </c>
      <c r="E59" s="19">
        <f>E57*(1-'Inputs'!$C$38)-E56-E58</f>
        <v/>
      </c>
    </row>
    <row r="60">
      <c r="B60" t="inlineStr">
        <is>
          <t>Net return on allotted cost</t>
        </is>
      </c>
      <c r="C60" s="22">
        <f>IFERROR(C59/C56,0)</f>
        <v/>
      </c>
      <c r="D60" s="22">
        <f>IFERROR(D59/D56,0)</f>
        <v/>
      </c>
      <c r="E60" s="22">
        <f>IFERROR(E59/E56,0)</f>
        <v/>
      </c>
    </row>
    <row r="61">
      <c r="B61" t="inlineStr">
        <is>
          <t>Anchor P&amp;L minus QIB P&amp;L (Rs cr)</t>
        </is>
      </c>
      <c r="C61" s="19">
        <f>C49-C59</f>
        <v/>
      </c>
      <c r="D61" s="19">
        <f>D49-D59</f>
        <v/>
      </c>
      <c r="E61" s="19">
        <f>E49-E59</f>
        <v/>
      </c>
    </row>
    <row r="63">
      <c r="B63" s="10" t="inlineStr">
        <is>
          <t>Anchor route earns on a larger, more certain allotment but carries 30/90-day price risk and pays funds upfront; QIB route is small and allotment-uncertain but liquid on day one.</t>
        </is>
      </c>
    </row>
  </sheetData>
  <conditionalFormatting sqref="C1:C20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42" customWidth="1" min="2" max="2"/>
    <col width="14" customWidth="1" min="3" max="3"/>
    <col width="14" customWidth="1" min="4" max="4"/>
    <col width="14" customWidth="1" min="5" max="5"/>
    <col width="16" customWidth="1" min="6" max="6"/>
    <col width="14" customWidth="1" min="7" max="7"/>
    <col width="14" customWidth="1" min="8" max="8"/>
    <col width="26" customWidth="1" min="9" max="9"/>
    <col width="46" customWidth="1" min="10" max="10"/>
  </cols>
  <sheetData>
    <row r="1" ht="24" customHeight="1">
      <c r="A1" s="1" t="inlineStr">
        <is>
          <t>Supply-overhang calendar (shares in lakh)</t>
        </is>
      </c>
    </row>
    <row r="2" ht="20" customHeight="1">
      <c r="A2" s="2" t="inlineStr">
        <is>
          <t>Parshwanath Capital Ventures Fund | SEBI Registered CAT III AIF | IN/AIF3/25-26/2108 | Fund Manager: CA Deep Dalal | Sponsor: Jignesh Shah</t>
        </is>
      </c>
    </row>
    <row r="4">
      <c r="B4" s="18" t="inlineStr">
        <is>
          <t>Total post-issue shares (lakh)</t>
        </is>
      </c>
      <c r="C4" s="11" t="n">
        <v>137</v>
      </c>
    </row>
    <row r="5">
      <c r="B5" s="18" t="inlineStr">
        <is>
          <t>Free float at listing (lakh)</t>
        </is>
      </c>
      <c r="C5" s="21">
        <f>C4-SUM(C9:C15)</f>
        <v/>
      </c>
    </row>
    <row r="6">
      <c r="B6" s="18" t="inlineStr">
        <is>
          <t>Free float as % of total</t>
        </is>
      </c>
      <c r="C6" s="22">
        <f>C5/C4</f>
        <v/>
      </c>
    </row>
    <row r="8">
      <c r="B8" s="6" t="inlineStr">
        <is>
          <t>Category</t>
        </is>
      </c>
      <c r="C8" s="6" t="inlineStr">
        <is>
          <t>Shares (lakh)</t>
        </is>
      </c>
      <c r="D8" s="6" t="inlineStr">
        <is>
          <t>Lock-in days from allotment</t>
        </is>
      </c>
      <c r="E8" s="6" t="inlineStr">
        <is>
          <t>Release date</t>
        </is>
      </c>
      <c r="F8" s="6" t="inlineStr">
        <is>
          <t>Free float just before release</t>
        </is>
      </c>
      <c r="G8" s="6" t="inlineStr">
        <is>
          <t>Release as % of float</t>
        </is>
      </c>
      <c r="H8" s="6" t="inlineStr">
        <is>
          <t>Cumulative released</t>
        </is>
      </c>
      <c r="I8" s="6" t="inlineStr">
        <is>
          <t>Flag</t>
        </is>
      </c>
      <c r="J8" s="6" t="inlineStr">
        <is>
          <t>Page cite / note</t>
        </is>
      </c>
    </row>
    <row r="9">
      <c r="B9" s="18" t="inlineStr">
        <is>
          <t>Anchor - tranche 1</t>
        </is>
      </c>
      <c r="C9" s="27">
        <f>'Allocation'!$C$17*'Inputs'!$C$34</f>
        <v/>
      </c>
      <c r="D9" s="28">
        <f>'Inputs'!$C$35</f>
        <v/>
      </c>
      <c r="E9" s="24">
        <f>'Inputs'!$C$32+D9</f>
        <v/>
      </c>
      <c r="F9" s="19">
        <f>$C$5+SUMIF($E$9:$E$15,"&lt;"&amp;E9,$C$9:$C$15)</f>
        <v/>
      </c>
      <c r="G9" s="22">
        <f>IF(F9&gt;0,C9/F9,0)</f>
        <v/>
      </c>
      <c r="H9" s="19">
        <f>SUMIF($E$9:$E$15,"&lt;="&amp;E9,$C$9:$C$15)</f>
        <v/>
      </c>
      <c r="I9" s="20">
        <f>IF(C9=0,"-",IF(G9&gt;0.25,"RED: large cliff vs float",IF(G9&gt;0.1,"AMBER: watch","OK")))</f>
        <v/>
      </c>
      <c r="J9" s="10" t="inlineStr">
        <is>
          <t>Whole anchor book, not only our allotment</t>
        </is>
      </c>
    </row>
    <row r="10">
      <c r="B10" s="18" t="inlineStr">
        <is>
          <t>Anchor - tranche 2</t>
        </is>
      </c>
      <c r="C10" s="27">
        <f>'Allocation'!$C$17*(1-'Inputs'!$C$34)</f>
        <v/>
      </c>
      <c r="D10" s="28">
        <f>'Inputs'!$C$36</f>
        <v/>
      </c>
      <c r="E10" s="24">
        <f>'Inputs'!$C$32+D10</f>
        <v/>
      </c>
      <c r="F10" s="19">
        <f>$C$5+SUMIF($E$9:$E$15,"&lt;"&amp;E10,$C$9:$C$15)</f>
        <v/>
      </c>
      <c r="G10" s="22">
        <f>IF(F10&gt;0,C10/F10,0)</f>
        <v/>
      </c>
      <c r="H10" s="19">
        <f>SUMIF($E$9:$E$15,"&lt;="&amp;E10,$C$9:$C$15)</f>
        <v/>
      </c>
      <c r="I10" s="20">
        <f>IF(C10=0,"-",IF(G10&gt;0.25,"RED: large cliff vs float",IF(G10&gt;0.1,"AMBER: watch","OK")))</f>
        <v/>
      </c>
      <c r="J10" s="10" t="inlineStr"/>
    </row>
    <row r="11">
      <c r="B11" s="18" t="inlineStr">
        <is>
          <t>Promoters' minimum contribution (20% of post-issue capital)</t>
        </is>
      </c>
      <c r="C11" s="11" t="n">
        <v>27.4</v>
      </c>
      <c r="D11" s="15" t="n">
        <v>1095</v>
      </c>
      <c r="E11" s="24">
        <f>'Inputs'!$C$32+D11</f>
        <v/>
      </c>
      <c r="F11" s="19">
        <f>$C$5+SUMIF($E$9:$E$15,"&lt;"&amp;E11,$C$9:$C$15)</f>
        <v/>
      </c>
      <c r="G11" s="22">
        <f>IF(F11&gt;0,C11/F11,0)</f>
        <v/>
      </c>
      <c r="H11" s="19">
        <f>SUMIF($E$9:$E$15,"&lt;="&amp;E11,$C$9:$C$15)</f>
        <v/>
      </c>
      <c r="I11" s="20">
        <f>IF(C11=0,"-",IF(G11&gt;0.25,"RED: large cliff vs float",IF(G11&gt;0.1,"AMBER: watch","OK")))</f>
        <v/>
      </c>
      <c r="J11" s="10" t="inlineStr">
        <is>
          <t>SEBI ICDR (SME): three years</t>
        </is>
      </c>
    </row>
    <row r="12">
      <c r="B12" s="18" t="inlineStr"/>
      <c r="C12" s="11" t="n"/>
      <c r="D12" s="15" t="n"/>
      <c r="E12" s="24">
        <f>'Inputs'!$C$32+D12</f>
        <v/>
      </c>
      <c r="F12" s="19">
        <f>$C$5+SUMIF($E$9:$E$15,"&lt;"&amp;E12,$C$9:$C$15)</f>
        <v/>
      </c>
      <c r="G12" s="22">
        <f>IF(F12&gt;0,C12/F12,0)</f>
        <v/>
      </c>
      <c r="H12" s="19">
        <f>SUMIF($E$9:$E$15,"&lt;="&amp;E12,$C$9:$C$15)</f>
        <v/>
      </c>
      <c r="I12" s="20">
        <f>IF(C12=0,"-",IF(G12&gt;0.25,"RED: large cliff vs float",IF(G12&gt;0.1,"AMBER: watch","OK")))</f>
        <v/>
      </c>
      <c r="J12" s="10" t="inlineStr"/>
    </row>
    <row r="13">
      <c r="B13" s="18" t="inlineStr"/>
      <c r="C13" s="11" t="n"/>
      <c r="D13" s="15" t="n"/>
      <c r="E13" s="24">
        <f>'Inputs'!$C$32+D13</f>
        <v/>
      </c>
      <c r="F13" s="19">
        <f>$C$5+SUMIF($E$9:$E$15,"&lt;"&amp;E13,$C$9:$C$15)</f>
        <v/>
      </c>
      <c r="G13" s="22">
        <f>IF(F13&gt;0,C13/F13,0)</f>
        <v/>
      </c>
      <c r="H13" s="19">
        <f>SUMIF($E$9:$E$15,"&lt;="&amp;E13,$C$9:$C$15)</f>
        <v/>
      </c>
      <c r="I13" s="20">
        <f>IF(C13=0,"-",IF(G13&gt;0.25,"RED: large cliff vs float",IF(G13&gt;0.1,"AMBER: watch","OK")))</f>
        <v/>
      </c>
      <c r="J13" s="10" t="inlineStr"/>
    </row>
    <row r="14">
      <c r="B14" s="18" t="inlineStr"/>
      <c r="C14" s="11" t="n"/>
      <c r="D14" s="15" t="n"/>
      <c r="E14" s="24">
        <f>'Inputs'!$C$32+D14</f>
        <v/>
      </c>
      <c r="F14" s="19">
        <f>$C$5+SUMIF($E$9:$E$15,"&lt;"&amp;E14,$C$9:$C$15)</f>
        <v/>
      </c>
      <c r="G14" s="22">
        <f>IF(F14&gt;0,C14/F14,0)</f>
        <v/>
      </c>
      <c r="H14" s="19">
        <f>SUMIF($E$9:$E$15,"&lt;="&amp;E14,$C$9:$C$15)</f>
        <v/>
      </c>
      <c r="I14" s="20">
        <f>IF(C14=0,"-",IF(G14&gt;0.25,"RED: large cliff vs float",IF(G14&gt;0.1,"AMBER: watch","OK")))</f>
        <v/>
      </c>
      <c r="J14" s="10" t="inlineStr"/>
    </row>
    <row r="15">
      <c r="B15" s="18" t="inlineStr"/>
      <c r="C15" s="11" t="n"/>
      <c r="D15" s="15" t="n"/>
      <c r="E15" s="24">
        <f>'Inputs'!$C$32+D15</f>
        <v/>
      </c>
      <c r="F15" s="19">
        <f>$C$5+SUMIF($E$9:$E$15,"&lt;"&amp;E15,$C$9:$C$15)</f>
        <v/>
      </c>
      <c r="G15" s="22">
        <f>IF(F15&gt;0,C15/F15,0)</f>
        <v/>
      </c>
      <c r="H15" s="19">
        <f>SUMIF($E$9:$E$15,"&lt;="&amp;E15,$C$9:$C$15)</f>
        <v/>
      </c>
      <c r="I15" s="20">
        <f>IF(C15=0,"-",IF(G15&gt;0.25,"RED: large cliff vs float",IF(G15&gt;0.1,"AMBER: watch","OK")))</f>
        <v/>
      </c>
      <c r="J15" s="10" t="inlineStr"/>
    </row>
    <row r="17">
      <c r="B17" s="10" t="inlineStr">
        <is>
          <t>A small float meeting a large release is a price event unrelated to the business. Re-key rows from the RHP 'Capital Structure' lock-in table.</t>
        </is>
      </c>
    </row>
  </sheetData>
  <conditionalFormatting sqref="I9:I15">
    <cfRule type="expression" priority="1" dxfId="0">
      <formula>LEFT(I9,3)="RED"</formula>
    </cfRule>
    <cfRule type="expression" priority="2" dxfId="0">
      <formula>LEFT(I9,4)="FAIL"</formula>
    </cfRule>
    <cfRule type="expression" priority="3" dxfId="0">
      <formula>LEFT(I9,12)="INCONSISTENT"</formula>
    </cfRule>
    <cfRule type="expression" priority="4" dxfId="0">
      <formula>LEFT(I9,10)="DEGENERATE"</formula>
    </cfRule>
    <cfRule type="expression" priority="5" dxfId="1">
      <formula>LEFT(I9,5)="AMBER"</formula>
    </cfRule>
    <cfRule type="expression" priority="6" dxfId="1">
      <formula>LEFT(I9,5)="WATCH"</formula>
    </cfRule>
    <cfRule type="expression" priority="7" dxfId="2">
      <formula>LEFT(I9,2)="OK"</formula>
    </cfRule>
    <cfRule type="expression" priority="8" dxfId="2">
      <formula>LEFT(I9,4)="PASS"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2026-10-29T09:39:58Z</dcterms:created>
  <dcterms:modified xmlns:dcterms="http://purl.org/dc/terms/" xmlns:xsi="http://www.w3.org/2001/XMLSchema-instance" xsi:type="dcterms:W3CDTF">2026-10-29T09:39:58Z</dcterms:modified>
</cp:coreProperties>
</file>