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M. K. Sons Fine Jewels Limited</t>
        </is>
      </c>
      <c r="D5" s="8" t="inlineStr"/>
    </row>
    <row r="6">
      <c r="B6" s="6" t="inlineStr">
        <is>
          <t>Platform</t>
        </is>
      </c>
      <c r="C6" s="7" t="inlineStr">
        <is>
          <t>Mainboard</t>
        </is>
      </c>
      <c r="D6" s="8" t="inlineStr"/>
    </row>
    <row r="7">
      <c r="B7" s="6" t="inlineStr">
        <is>
          <t>Stage</t>
        </is>
      </c>
      <c r="C7" s="9" t="inlineStr">
        <is>
          <t>RHP</t>
        </is>
      </c>
      <c r="D7" s="8" t="inlineStr"/>
    </row>
    <row r="8">
      <c r="B8" s="6" t="inlineStr">
        <is>
          <t>Document date</t>
        </is>
      </c>
      <c r="C8" s="10" t="n">
        <v>46153</v>
      </c>
      <c r="D8" s="8" t="inlineStr"/>
    </row>
    <row r="9">
      <c r="B9" s="6" t="inlineStr">
        <is>
          <t>Audited financials up to</t>
        </is>
      </c>
      <c r="C9" s="10" t="n">
        <v>46022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Yes</t>
        </is>
      </c>
      <c r="D13" s="8" t="inlineStr"/>
    </row>
    <row r="14">
      <c r="B14" s="6" t="inlineStr">
        <is>
          <t>Book running lead manager(s)</t>
        </is>
      </c>
      <c r="C14" s="7" t="inlineStr">
        <is>
          <t>Aryaman Financial Services Limited</t>
        </is>
      </c>
      <c r="D14" s="8" t="inlineStr"/>
      <c r="E14" s="14" t="inlineStr">
        <is>
          <t>Compile BRLM track record (CIR/MIRSD/1/2012)</t>
        </is>
      </c>
    </row>
    <row r="15">
      <c r="B15" s="6" t="inlineStr">
        <is>
          <t>Figures from outside the offer document</t>
        </is>
      </c>
      <c r="C15" s="7" t="inlineStr">
        <is>
          <t>Price band, lot, issue split and dates from the NSE issue page; RHP not reachable, so DRHP (May-2026) figures are used</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24.912</v>
      </c>
      <c r="D5" s="16" t="n">
        <v>217.323</v>
      </c>
      <c r="E5" s="16" t="n">
        <v>351.28</v>
      </c>
      <c r="F5" s="16" t="n">
        <v>360.821</v>
      </c>
      <c r="G5" s="7" t="inlineStr">
        <is>
          <t>p. 227</t>
        </is>
      </c>
    </row>
    <row r="6">
      <c r="B6" t="inlineStr">
        <is>
          <t>Other income</t>
        </is>
      </c>
      <c r="C6" s="16" t="n">
        <v>0.018</v>
      </c>
      <c r="D6" s="16" t="n">
        <v>0.07199999999999999</v>
      </c>
      <c r="E6" s="16" t="n">
        <v>0.036</v>
      </c>
      <c r="F6" s="16" t="n">
        <v>0.024</v>
      </c>
      <c r="G6" s="7" t="inlineStr">
        <is>
          <t>p. 227</t>
        </is>
      </c>
    </row>
    <row r="7">
      <c r="B7" t="inlineStr">
        <is>
          <t>Profit before tax</t>
        </is>
      </c>
      <c r="C7" s="16" t="n">
        <v>1.725</v>
      </c>
      <c r="D7" s="16" t="n">
        <v>10.832</v>
      </c>
      <c r="E7" s="16" t="n">
        <v>32.026</v>
      </c>
      <c r="F7" s="16" t="n">
        <v>39.946</v>
      </c>
      <c r="G7" s="7" t="inlineStr">
        <is>
          <t>p. 227</t>
        </is>
      </c>
    </row>
    <row r="8">
      <c r="B8" t="inlineStr">
        <is>
          <t>Current tax</t>
        </is>
      </c>
      <c r="C8" s="16" t="n">
        <v>0.483</v>
      </c>
      <c r="D8" s="16" t="n">
        <v>2.789</v>
      </c>
      <c r="E8" s="16" t="n">
        <v>8.550000000000001</v>
      </c>
      <c r="F8" s="16" t="n">
        <v>11</v>
      </c>
      <c r="G8" s="7" t="inlineStr">
        <is>
          <t>p. 227</t>
        </is>
      </c>
    </row>
    <row r="9">
      <c r="B9" t="inlineStr">
        <is>
          <t>Deferred tax</t>
        </is>
      </c>
      <c r="C9" s="16" t="n">
        <v>-0.097</v>
      </c>
      <c r="D9" s="16" t="n">
        <v>-0.122</v>
      </c>
      <c r="E9" s="16" t="n">
        <v>0.213</v>
      </c>
      <c r="F9" s="16" t="n">
        <v>-0.219</v>
      </c>
      <c r="G9" s="7" t="inlineStr">
        <is>
          <t>p. 227</t>
        </is>
      </c>
    </row>
    <row r="10">
      <c r="B10" t="inlineStr">
        <is>
          <t>PAT</t>
        </is>
      </c>
      <c r="C10" s="16" t="n">
        <v>1.339</v>
      </c>
      <c r="D10" s="16" t="n">
        <v>8.164999999999999</v>
      </c>
      <c r="E10" s="16" t="n">
        <v>23.262</v>
      </c>
      <c r="F10" s="16" t="n">
        <v>29.165</v>
      </c>
      <c r="G10" s="7" t="inlineStr">
        <is>
          <t>p. 227</t>
        </is>
      </c>
    </row>
    <row r="11">
      <c r="B11" t="inlineStr">
        <is>
          <t>Cash flow from operations</t>
        </is>
      </c>
      <c r="C11" s="16" t="n">
        <v>-4.947</v>
      </c>
      <c r="D11" s="16" t="n">
        <v>-23.557</v>
      </c>
      <c r="E11" s="16" t="n">
        <v>-9.531000000000001</v>
      </c>
      <c r="F11" s="16" t="n">
        <v>18.006</v>
      </c>
      <c r="G11" s="7" t="inlineStr">
        <is>
          <t>p. 228</t>
        </is>
      </c>
    </row>
    <row r="12">
      <c r="B12" t="inlineStr">
        <is>
          <t>Related-party sales</t>
        </is>
      </c>
      <c r="C12" s="16" t="n">
        <v>0</v>
      </c>
      <c r="D12" s="16" t="n">
        <v>0</v>
      </c>
      <c r="E12" s="16" t="n">
        <v>0</v>
      </c>
      <c r="F12" s="16" t="n">
        <v>0</v>
      </c>
      <c r="G12" s="7" t="inlineStr">
        <is>
          <t>p. 64</t>
        </is>
      </c>
    </row>
    <row r="13">
      <c r="B13" t="inlineStr">
        <is>
          <t>Related-party purchases (incl. capex)</t>
        </is>
      </c>
      <c r="C13" s="16" t="n">
        <v>0.459</v>
      </c>
      <c r="D13" s="16" t="n">
        <v>3.849</v>
      </c>
      <c r="E13" s="16" t="n">
        <v>21.715</v>
      </c>
      <c r="F13" s="16" t="n">
        <v>1.228</v>
      </c>
      <c r="G13" s="7" t="inlineStr">
        <is>
          <t>p. 64 (purchases from the promoter's proprietorship before its merger, a promoter-group hotel, and rent to the promoter)</t>
        </is>
      </c>
    </row>
    <row r="14">
      <c r="B14" t="inlineStr">
        <is>
          <t>Net worth</t>
        </is>
      </c>
      <c r="C14" s="16" t="n">
        <v>14.149</v>
      </c>
      <c r="D14" s="16" t="n">
        <v>22.29</v>
      </c>
      <c r="E14" s="16" t="n">
        <v>116.235</v>
      </c>
      <c r="F14" s="16" t="n">
        <v>145.418</v>
      </c>
      <c r="G14" s="7" t="inlineStr">
        <is>
          <t>p. 226</t>
        </is>
      </c>
    </row>
    <row r="15">
      <c r="B15" t="inlineStr">
        <is>
          <t>Trade receivables</t>
        </is>
      </c>
      <c r="C15" s="16" t="n">
        <v>0.13</v>
      </c>
      <c r="D15" s="16" t="n">
        <v>0.589</v>
      </c>
      <c r="E15" s="16" t="n">
        <v>1.21</v>
      </c>
      <c r="F15" s="16" t="n">
        <v>3.422</v>
      </c>
      <c r="G15" s="7" t="inlineStr">
        <is>
          <t>p. 226</t>
        </is>
      </c>
    </row>
    <row r="16">
      <c r="B16" t="inlineStr">
        <is>
          <t>Inventory</t>
        </is>
      </c>
      <c r="C16" s="16" t="n">
        <v>44.812</v>
      </c>
      <c r="D16" s="16" t="n">
        <v>87.48099999999999</v>
      </c>
      <c r="E16" s="16" t="n">
        <v>205.696</v>
      </c>
      <c r="F16" s="16" t="n">
        <v>240.592</v>
      </c>
      <c r="G16" s="7" t="inlineStr">
        <is>
          <t>p. 226</t>
        </is>
      </c>
    </row>
    <row r="17">
      <c r="B17" t="inlineStr">
        <is>
          <t>Trade payables</t>
        </is>
      </c>
      <c r="C17" s="16" t="n">
        <v>21.644</v>
      </c>
      <c r="D17" s="16" t="n">
        <v>26.055</v>
      </c>
      <c r="E17" s="16" t="n">
        <v>21.569</v>
      </c>
      <c r="F17" s="16" t="n">
        <v>28.609</v>
      </c>
      <c r="G17" s="7" t="inlineStr">
        <is>
          <t>p. 226</t>
        </is>
      </c>
    </row>
    <row r="18">
      <c r="B18" t="inlineStr">
        <is>
          <t>Contingent liabilities</t>
        </is>
      </c>
      <c r="C18" s="16" t="n">
        <v>4.995</v>
      </c>
      <c r="D18" s="16" t="n">
        <v>4.995</v>
      </c>
      <c r="E18" s="16" t="n">
        <v>4.995</v>
      </c>
      <c r="F18" s="16" t="n">
        <v>4.995</v>
      </c>
      <c r="G18" s="7" t="inlineStr">
        <is>
          <t>p. 63 (income-tax demands AY 2012-13 and 2017-18)</t>
        </is>
      </c>
    </row>
    <row r="19">
      <c r="B19" t="inlineStr">
        <is>
          <t>Goodwill + intangibles</t>
        </is>
      </c>
      <c r="C19" s="16" t="n">
        <v>0</v>
      </c>
      <c r="D19" s="16" t="n">
        <v>0</v>
      </c>
      <c r="E19" s="16" t="n">
        <v>0</v>
      </c>
      <c r="F19" s="16" t="n">
        <v>0</v>
      </c>
      <c r="G19" s="7" t="inlineStr">
        <is>
          <t>p. 226</t>
        </is>
      </c>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v>0</v>
      </c>
    </row>
    <row r="24">
      <c r="B24" t="inlineStr">
        <is>
          <t>Top-10 customers % of revenue</t>
        </is>
      </c>
      <c r="E24" s="17" t="n">
        <v>0</v>
      </c>
    </row>
    <row r="25">
      <c r="B25" t="inlineStr">
        <is>
          <t>Top supplier % of purchases</t>
        </is>
      </c>
      <c r="E25" s="17" t="n">
        <v>0</v>
      </c>
    </row>
    <row r="26">
      <c r="B26" t="inlineStr">
        <is>
          <t>Largest state/country % of revenue</t>
        </is>
      </c>
      <c r="E26" s="17" t="n">
        <v>1</v>
      </c>
    </row>
    <row r="27">
      <c r="B27" t="inlineStr">
        <is>
          <t>Fresh issue net of expenses</t>
        </is>
      </c>
      <c r="E27" s="16" t="n"/>
    </row>
    <row r="28">
      <c r="B28" t="inlineStr">
        <is>
          <t>Promoter weighted avg cost of acquisition (Rs)</t>
        </is>
      </c>
      <c r="E28" s="16" t="n"/>
    </row>
    <row r="29">
      <c r="B29" t="inlineStr">
        <is>
          <t>Offer price / cap (Rs)</t>
        </is>
      </c>
      <c r="E29" s="16" t="n">
        <v>275.4</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73-76, 98</t>
        </is>
      </c>
      <c r="G5" s="27" t="inlineStr">
        <is>
          <t>Bonus issues of 2:1 (16-May-2025) and 2:3 (Dec-2025) are reflected: EPS 0.60 / 3.63 / 10.26 FY23-25 and 6.83 for 9M FY26 are on the 4,26,90,760 post-bonus shares.</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WATCH</t>
        </is>
      </c>
      <c r="F6" s="7" t="inlineStr">
        <is>
          <t>p. 228</t>
        </is>
      </c>
      <c r="G6" s="27" t="inlineStr">
        <is>
          <t>Operating cash flow Rs -4.95 / -23.56 / -9.53 cr FY23-25 against PAT Rs 1.34 / 8.17 / 23.26 cr as inventory rose from Rs 44.81 cr to Rs 205.70 cr; 9M FY26 CFO +Rs 18.01 cr against PAT Rs 29.17 cr. Typical for a jewellery retailer stocking new showrooms; inventory days 122 -&gt; 178 -&gt; 205 (p. 101).</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PASS</t>
        </is>
      </c>
      <c r="F7" s="7" t="inlineStr">
        <is>
          <t>p. 227</t>
        </is>
      </c>
      <c r="G7" s="27" t="inlineStr">
        <is>
          <t>Current tax about 27% of PBT each year; income tax paid Rs 12.46 cr over FY23-9M FY26.</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64, 189</t>
        </is>
      </c>
      <c r="G8" s="27" t="inlineStr">
        <is>
          <t>Until 29-Mar-2025 the promoter ran a parallel proprietorship (M. K. Sons Jewellers), from which the company bought Rs 21.52 cr of goods in FY25; it was then merged in for 40,38,152 shares at Rs 176 (Rs 71.07 cr). Promoter loans (Rs 1.52 cr outstanding Dec-25) and showroom rent to the promoter (Rs 1.23 cr in 9M FY26) continue. Disclosed; the merger removes the overlap.</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PASS</t>
        </is>
      </c>
      <c r="F9" s="7" t="inlineStr">
        <is>
          <t>pp. 89-91</t>
        </is>
      </c>
      <c r="G9" s="27" t="inlineStr">
        <is>
          <t>Objects Rs 181.51 cr (showroom inventory Rs 151.51 cr + debt repayment Rs 30.00 cr) over 1.36 crore fresh shares = Rs 133.46 a share before GCP and expenses, below the Rs 153 floor.</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PASS</t>
        </is>
      </c>
      <c r="F11" s="7" t="inlineStr">
        <is>
          <t>p. 226</t>
        </is>
      </c>
      <c r="G11" s="27" t="inlineStr">
        <is>
          <t>No goodwill; intangibles negligible (Rs 0.05 cr).</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pp. 21, 23, 91</t>
        </is>
      </c>
      <c r="G12" s="27" t="inlineStr">
        <is>
          <t>Five leased showrooms (3 Mumbai, 2 Ahmedabad; 6,513 sq ft); the two Ahmedabad showrooms gave 62.40% of 9M FY26 revenue. Finished jewellery is bought from third-party vendors in Maharashtra and Gujarat without long-term contracts.</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PASS</t>
        </is>
      </c>
      <c r="F13" s="7" t="inlineStr">
        <is>
          <t>p. 63</t>
        </is>
      </c>
      <c r="G13" s="27" t="inlineStr">
        <is>
          <t>Contingent liabilities Rs 4.995 cr of income-tax demands (3.4% of Dec-25 net worth); no criminal or regulatory cases.</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PASS</t>
        </is>
      </c>
      <c r="F15" s="7" t="inlineStr">
        <is>
          <t>p. 18</t>
        </is>
      </c>
      <c r="G15" s="27" t="inlineStr">
        <is>
          <t>Paresh Rakesh &amp; Associates LLP; FY23-25 restated from special-purpose Ind AS statements prepared from Indian GAAP books.</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PASS</t>
        </is>
      </c>
      <c r="F17" s="7" t="inlineStr">
        <is>
          <t>p. 89</t>
        </is>
      </c>
      <c r="G17" s="27" t="inlineStr">
        <is>
          <t>Fresh issue about Rs 220 cr at the upper band: monitoring agency mandatory; to be named in the RHP.</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N.A.</t>
        </is>
      </c>
      <c r="F19" s="7" t="inlineStr">
        <is>
          <t>cover</t>
        </is>
      </c>
      <c r="G19" s="27" t="inlineStr">
        <is>
          <t>Mainboard issue under Reg 6(1).</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c r="G20" s="27" t="inlineStr">
        <is>
          <t>Aryaman Financial Services (sole BRLM): track record not compiled in this run.</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2026-10-26T06:42:49Z</dcterms:created>
  <dcterms:modified xmlns:dcterms="http://purl.org/dc/terms/" xmlns:xsi="http://www.w3.org/2001/XMLSchema-instance" xsi:type="dcterms:W3CDTF">2026-10-26T06:42:49Z</dcterms:modified>
</cp:coreProperties>
</file>