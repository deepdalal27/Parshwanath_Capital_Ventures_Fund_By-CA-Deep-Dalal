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dd-mmm-yyyy"/>
    <numFmt numFmtId="165" formatCode="yyyy-mm-dd"/>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4" fontId="6" fillId="2" borderId="1" pivotButton="0" quotePrefix="0" xfId="0"/>
    <xf numFmtId="164"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Johnsoncab Electricals Limited</t>
        </is>
      </c>
      <c r="D5" s="8" t="inlineStr"/>
    </row>
    <row r="6">
      <c r="B6" s="6" t="inlineStr">
        <is>
          <t>Platform</t>
        </is>
      </c>
      <c r="C6" s="7" t="inlineStr">
        <is>
          <t>SME</t>
        </is>
      </c>
      <c r="D6" s="8" t="inlineStr"/>
    </row>
    <row r="7">
      <c r="B7" s="6" t="inlineStr">
        <is>
          <t>Stage</t>
        </is>
      </c>
      <c r="C7" s="9" t="inlineStr">
        <is>
          <t>RHP</t>
        </is>
      </c>
      <c r="D7" s="8" t="inlineStr"/>
    </row>
    <row r="8">
      <c r="B8" s="6" t="inlineStr">
        <is>
          <t>Document date</t>
        </is>
      </c>
      <c r="C8" s="10" t="n"/>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ISK Advisors Private Limited</t>
        </is>
      </c>
      <c r="D14" s="8" t="inlineStr"/>
      <c r="E14" s="14" t="inlineStr">
        <is>
          <t>Compile BRLM track record (CIR/MIRSD/1/2012)</t>
        </is>
      </c>
    </row>
    <row r="15">
      <c r="B15" s="6" t="inlineStr">
        <is>
          <t>Figures from outside the offer document</t>
        </is>
      </c>
      <c r="C15" s="7" t="inlineStr">
        <is>
          <t>RHP not reachable (BSE SME hosts blocked); figures from public trackers reproducing the offer document</t>
        </is>
      </c>
      <c r="D15" s="8" t="inlineStr"/>
    </row>
    <row r="17">
      <c r="B17" s="4" t="inlineStr">
        <is>
          <t>Trade being underwritten</t>
        </is>
      </c>
    </row>
    <row r="18">
      <c r="B18" s="6" t="inlineStr">
        <is>
          <t>Bid category</t>
        </is>
      </c>
      <c r="C18" s="7" t="inlineStr">
        <is>
          <t>NII / Retail</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88.95</v>
      </c>
      <c r="D5" s="16" t="n">
        <v>140</v>
      </c>
      <c r="E5" s="16" t="n">
        <v>210.47</v>
      </c>
      <c r="F5" s="16" t="n"/>
      <c r="G5" s="7" t="inlineStr">
        <is>
          <t>Restated standalone; FY24-25 total income, FY26 revenue from operations (IPO Platform, IPO Central, Chittorgarh)</t>
        </is>
      </c>
    </row>
    <row r="6">
      <c r="B6" t="inlineStr">
        <is>
          <t>Other income</t>
        </is>
      </c>
      <c r="C6" s="16" t="n"/>
      <c r="D6" s="16" t="n"/>
      <c r="E6" s="16" t="n">
        <v>0.87</v>
      </c>
      <c r="F6" s="16" t="n"/>
      <c r="G6" s="7" t="inlineStr">
        <is>
          <t>FY26 total income 211.34 less revenue 210.47</t>
        </is>
      </c>
    </row>
    <row r="7">
      <c r="B7" t="inlineStr">
        <is>
          <t>Profit before tax</t>
        </is>
      </c>
      <c r="C7" s="16" t="n"/>
      <c r="D7" s="16" t="n"/>
      <c r="E7" s="16" t="n"/>
      <c r="F7" s="16" t="n"/>
      <c r="G7" s="7" t="inlineStr"/>
    </row>
    <row r="8">
      <c r="B8" t="inlineStr">
        <is>
          <t>Current tax</t>
        </is>
      </c>
      <c r="C8" s="16" t="n"/>
      <c r="D8" s="16" t="n"/>
      <c r="E8" s="16" t="n"/>
      <c r="F8" s="16" t="n"/>
      <c r="G8" s="7" t="inlineStr"/>
    </row>
    <row r="9">
      <c r="B9" t="inlineStr">
        <is>
          <t>Deferred tax</t>
        </is>
      </c>
      <c r="C9" s="16" t="n"/>
      <c r="D9" s="16" t="n"/>
      <c r="E9" s="16" t="n"/>
      <c r="F9" s="16" t="n"/>
      <c r="G9" s="7" t="inlineStr"/>
    </row>
    <row r="10">
      <c r="B10" t="inlineStr">
        <is>
          <t>PAT</t>
        </is>
      </c>
      <c r="C10" s="16" t="n">
        <v>2.52</v>
      </c>
      <c r="D10" s="16" t="n">
        <v>5.46</v>
      </c>
      <c r="E10" s="16" t="n">
        <v>13.42</v>
      </c>
      <c r="F10" s="16" t="n"/>
      <c r="G10" s="7" t="inlineStr">
        <is>
          <t>Restated standalone (IPO Central, unp.me, Chittorgarh)</t>
        </is>
      </c>
    </row>
    <row r="11">
      <c r="B11" t="inlineStr">
        <is>
          <t>Cash flow from operations</t>
        </is>
      </c>
      <c r="C11" s="16" t="n"/>
      <c r="D11" s="16" t="n"/>
      <c r="E11" s="16" t="n"/>
      <c r="F11" s="16" t="n"/>
      <c r="G11" s="7" t="inlineStr"/>
    </row>
    <row r="12">
      <c r="B12" t="inlineStr">
        <is>
          <t>Related-party sales</t>
        </is>
      </c>
      <c r="C12" s="16" t="n"/>
      <c r="D12" s="16" t="n"/>
      <c r="E12" s="16" t="n"/>
      <c r="F12" s="16" t="n"/>
      <c r="G12" s="7" t="inlineStr"/>
    </row>
    <row r="13">
      <c r="B13" t="inlineStr">
        <is>
          <t>Related-party purchases (incl. capex)</t>
        </is>
      </c>
      <c r="C13" s="16" t="n"/>
      <c r="D13" s="16" t="n"/>
      <c r="E13" s="16" t="n"/>
      <c r="F13" s="16" t="n"/>
      <c r="G13" s="7" t="inlineStr"/>
    </row>
    <row r="14">
      <c r="B14" t="inlineStr">
        <is>
          <t>Net worth</t>
        </is>
      </c>
      <c r="C14" s="16" t="n">
        <v>8.880000000000001</v>
      </c>
      <c r="D14" s="16" t="n">
        <v>14.24</v>
      </c>
      <c r="E14" s="16" t="n">
        <v>31.44</v>
      </c>
      <c r="F14" s="16" t="n"/>
      <c r="G14" s="7" t="inlineStr">
        <is>
          <t>Restated standalone (unp.me, HDFC Sky)</t>
        </is>
      </c>
    </row>
    <row r="15">
      <c r="B15" t="inlineStr">
        <is>
          <t>Trade receivables</t>
        </is>
      </c>
      <c r="C15" s="16" t="n"/>
      <c r="D15" s="16" t="n"/>
      <c r="E15" s="16" t="n"/>
      <c r="F15" s="16" t="n"/>
      <c r="G15" s="7" t="inlineStr"/>
    </row>
    <row r="16">
      <c r="B16" t="inlineStr">
        <is>
          <t>Inventory</t>
        </is>
      </c>
      <c r="C16" s="16" t="n"/>
      <c r="D16" s="16" t="n"/>
      <c r="E16" s="16" t="n"/>
      <c r="F16" s="16" t="n"/>
      <c r="G16" s="7" t="inlineStr"/>
    </row>
    <row r="17">
      <c r="B17" t="inlineStr">
        <is>
          <t>Trade payables</t>
        </is>
      </c>
      <c r="C17" s="16" t="n"/>
      <c r="D17" s="16" t="n"/>
      <c r="E17" s="16" t="n"/>
      <c r="F17" s="16" t="n"/>
      <c r="G17" s="7" t="inlineStr"/>
    </row>
    <row r="18">
      <c r="B18" t="inlineStr">
        <is>
          <t>Contingent liabilities</t>
        </is>
      </c>
      <c r="C18" s="16" t="n"/>
      <c r="D18" s="16" t="n"/>
      <c r="E18" s="16" t="n"/>
      <c r="F18" s="16" t="n"/>
      <c r="G18" s="7" t="inlineStr"/>
    </row>
    <row r="19">
      <c r="B19" t="inlineStr">
        <is>
          <t>Goodwill + intangibles</t>
        </is>
      </c>
      <c r="C19" s="16" t="n"/>
      <c r="D19" s="16" t="n"/>
      <c r="E19" s="16" t="n"/>
      <c r="F19" s="16" t="n"/>
      <c r="G19" s="7" t="inlineStr"/>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row>
    <row r="24">
      <c r="B24" t="inlineStr">
        <is>
          <t>Top-10 customers % of revenue</t>
        </is>
      </c>
      <c r="E24" s="17" t="n"/>
    </row>
    <row r="25">
      <c r="B25" t="inlineStr">
        <is>
          <t>Top supplier % of purchases</t>
        </is>
      </c>
      <c r="E25" s="17" t="n"/>
    </row>
    <row r="26">
      <c r="B26" t="inlineStr">
        <is>
          <t>Largest state/country % of revenue</t>
        </is>
      </c>
      <c r="E26" s="17" t="n"/>
    </row>
    <row r="27">
      <c r="B27" t="inlineStr">
        <is>
          <t>Fresh issue net of expenses</t>
        </is>
      </c>
      <c r="E27" s="16" t="n"/>
    </row>
    <row r="28">
      <c r="B28" t="inlineStr">
        <is>
          <t>Promoter weighted avg cost of acquisition (Rs)</t>
        </is>
      </c>
      <c r="E28" s="16" t="n"/>
    </row>
    <row r="29">
      <c r="B29" t="inlineStr">
        <is>
          <t>Offer price / cap (Rs)</t>
        </is>
      </c>
      <c r="E29" s="16" t="n">
        <v>56.02</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trackers</t>
        </is>
      </c>
      <c r="G5" s="27" t="inlineStr">
        <is>
          <t>NAV Rs 40.47 on net worth Rs 31.44 cr implies about 77.7 lakh pre-issue shares; EPS Rs 17.81 on PAT Rs 13.42 cr implies a weighted 75.4 lakh, consistent with a small FY26 share issue (net worth rose Rs 17.20 cr against PAT Rs 13.42 cr).</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OPEN</t>
        </is>
      </c>
      <c r="F6" s="7" t="inlineStr"/>
      <c r="G6" s="27" t="inlineStr">
        <is>
          <t>Operating cash flow not available without the RHP. Borrowings rose from Rs 41.79 cr to Rs 79.88 cr in FY26 while total assets nearly doubled (Rs 64.28 cr to Rs 126.64 cr), so growth was largely funded by debt and working capital absorbed most of the profit.</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OPEN</t>
        </is>
      </c>
      <c r="F7" s="7" t="inlineStr"/>
      <c r="G7" s="27" t="inlineStr">
        <is>
          <t>Current vs deferred tax split not available.</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OPEN</t>
        </is>
      </c>
      <c r="F8" s="7" t="inlineStr"/>
      <c r="G8" s="27" t="inlineStr">
        <is>
          <t>Related-party transactions not available without the RHP.</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objects (trackers)</t>
        </is>
      </c>
      <c r="G9" s="27" t="inlineStr">
        <is>
          <t>Objects excluding GCP Rs 41.91 cr (shed 7.89 + plant 9.90 + conductor machinery 6.89 + rooftop solar 3.23 + working capital 14.00) over 28.008 lakh fresh shares = Rs 159 a share after 6% assumed expenses, below the Rs 190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OPEN</t>
        </is>
      </c>
      <c r="F11" s="7" t="inlineStr"/>
      <c r="G11" s="27" t="inlineStr">
        <is>
          <t>Goodwill and intangibles not available; none reported by trackers.</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OPEN</t>
        </is>
      </c>
      <c r="F12" s="7" t="inlineStr"/>
      <c r="G12" s="27" t="inlineStr">
        <is>
          <t>Customer concentration not available. Two plants, both in Mehsana, Gujarat (79,950 km a year installed).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OPEN</t>
        </is>
      </c>
      <c r="F13" s="7" t="inlineStr"/>
      <c r="G13" s="27" t="inlineStr">
        <is>
          <t>Contingent liabilities and litigation not available.</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OPEN</t>
        </is>
      </c>
      <c r="F15" s="7" t="inlineStr"/>
      <c r="G15" s="27" t="inlineStr">
        <is>
          <t>Auditor and any qualifications not available.</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c r="G17" s="27" t="inlineStr">
        <is>
          <t>Fresh issue Rs 56.02 cr: monitoring agency is mandatory above Rs 50 cr; to be named in the RHP.</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OPEN</t>
        </is>
      </c>
      <c r="F19" s="7" t="inlineStr"/>
      <c r="G19" s="27" t="inlineStr">
        <is>
          <t>SME eligibility (operating profit track record, net worth) appears met on the reported numbers; not re-computed from the RHP.</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ISK Advisors (sole BRLM, Ahmedabad): track record not compiled in this run.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2026-10-28T12:15:34Z</dcterms:created>
  <dcterms:modified xmlns:dcterms="http://purl.org/dc/terms/" xmlns:xsi="http://www.w3.org/2001/XMLSchema-instance" xsi:type="dcterms:W3CDTF">2026-10-28T12:15:34Z</dcterms:modified>
</cp:coreProperties>
</file>