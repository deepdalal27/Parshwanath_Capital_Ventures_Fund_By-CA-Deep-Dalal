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Johnsoncab Electricals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0.7769</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56.016</v>
      </c>
      <c r="D12" s="21" t="inlineStr">
        <is>
          <t>Rs cr</t>
        </is>
      </c>
    </row>
    <row r="13">
      <c r="B13" s="19" t="inlineStr">
        <is>
          <t>Fresh shares fixed in DRHP (0 if amount-based)</t>
        </is>
      </c>
      <c r="C13" s="15" t="n">
        <v>0.28008</v>
      </c>
      <c r="D13" s="21" t="inlineStr">
        <is>
          <t>crore</t>
        </is>
      </c>
    </row>
    <row r="14">
      <c r="B14" s="19" t="inlineStr">
        <is>
          <t>OFS shares (no effect on share count)</t>
        </is>
      </c>
      <c r="C14" s="15" t="n">
        <v>0</v>
      </c>
      <c r="D14" s="21" t="inlineStr">
        <is>
          <t>crore</t>
        </is>
      </c>
    </row>
    <row r="15">
      <c r="B15" s="19" t="inlineStr">
        <is>
          <t>Price band - floor</t>
        </is>
      </c>
      <c r="C15" s="15" t="n">
        <v>190</v>
      </c>
      <c r="D15" s="21" t="inlineStr">
        <is>
          <t>Rs</t>
        </is>
      </c>
    </row>
    <row r="16">
      <c r="B16" s="19" t="inlineStr">
        <is>
          <t>Price band - cap</t>
        </is>
      </c>
      <c r="C16" s="15" t="n">
        <v>200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41.91</v>
      </c>
      <c r="D18" s="21" t="inlineStr">
        <is>
          <t>Rs cr</t>
        </is>
      </c>
    </row>
    <row r="19">
      <c r="B19" s="19" t="inlineStr">
        <is>
          <t>Offer expenses as % of fresh issue</t>
        </is>
      </c>
      <c r="C19" s="16" t="n">
        <v>0.06</v>
      </c>
      <c r="D19" s="21" t="inlineStr"/>
    </row>
    <row r="20">
      <c r="B20" s="19" t="inlineStr">
        <is>
          <t>GCP as % of fresh issue</t>
        </is>
      </c>
      <c r="C20" s="16" t="n">
        <v>0</v>
      </c>
      <c r="D20" s="21" t="inlineStr"/>
      <c r="E20" s="17" t="inlineStr">
        <is>
          <t>Check against regulatory cap</t>
        </is>
      </c>
    </row>
    <row r="21">
      <c r="B21" s="19" t="inlineStr">
        <is>
          <t>IPO-funded capex object</t>
        </is>
      </c>
      <c r="C21" s="15" t="n">
        <v>27.91</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210.47</v>
      </c>
      <c r="D25" s="21" t="inlineStr">
        <is>
          <t>Rs cr</t>
        </is>
      </c>
    </row>
    <row r="26">
      <c r="B26" s="19" t="inlineStr">
        <is>
          <t>Revenue - prior year</t>
        </is>
      </c>
      <c r="C26" s="15" t="n">
        <v>140</v>
      </c>
      <c r="D26" s="21" t="inlineStr">
        <is>
          <t>Rs cr</t>
        </is>
      </c>
    </row>
    <row r="27">
      <c r="B27" s="19" t="inlineStr">
        <is>
          <t>EBITDA (ties to issuer KPI table)</t>
        </is>
      </c>
      <c r="C27" s="15" t="n">
        <v>24.06</v>
      </c>
      <c r="D27" s="21" t="inlineStr">
        <is>
          <t>Rs cr</t>
        </is>
      </c>
    </row>
    <row r="28">
      <c r="B28" s="19" t="inlineStr">
        <is>
          <t>Depreciation &amp; amortisation</t>
        </is>
      </c>
      <c r="C28" s="15" t="n">
        <v>1.2</v>
      </c>
      <c r="D28" s="21" t="inlineStr">
        <is>
          <t>Rs cr</t>
        </is>
      </c>
    </row>
    <row r="29">
      <c r="B29" s="19" t="inlineStr">
        <is>
          <t>PAT</t>
        </is>
      </c>
      <c r="C29" s="15" t="n">
        <v>13.42</v>
      </c>
      <c r="D29" s="21" t="inlineStr">
        <is>
          <t>Rs cr</t>
        </is>
      </c>
    </row>
    <row r="30">
      <c r="B30" s="19" t="inlineStr">
        <is>
          <t>Net worth (pre-issue)</t>
        </is>
      </c>
      <c r="C30" s="15" t="n">
        <v>31.44</v>
      </c>
      <c r="D30" s="21" t="inlineStr">
        <is>
          <t>Rs cr</t>
        </is>
      </c>
    </row>
    <row r="31">
      <c r="B31" s="19" t="inlineStr">
        <is>
          <t>Net debt (borrowings - cash)</t>
        </is>
      </c>
      <c r="C31" s="15" t="n">
        <v>79.88</v>
      </c>
      <c r="D31" s="21" t="inlineStr">
        <is>
          <t>Rs cr</t>
        </is>
      </c>
    </row>
    <row r="32">
      <c r="B32" s="19" t="inlineStr">
        <is>
          <t>Net working capital</t>
        </is>
      </c>
      <c r="C32" s="15" t="n">
        <v>95</v>
      </c>
      <c r="D32" s="21" t="inlineStr">
        <is>
          <t>Rs cr</t>
        </is>
      </c>
      <c r="E32" s="17" t="inlineStr">
        <is>
          <t>Reconcile to Objects-chapter WC table</t>
        </is>
      </c>
    </row>
    <row r="33">
      <c r="B33" s="19" t="inlineStr">
        <is>
          <t>Net working capital - prior year</t>
        </is>
      </c>
      <c r="C33" s="15" t="n">
        <v>43</v>
      </c>
      <c r="D33" s="21" t="inlineStr">
        <is>
          <t>Rs cr</t>
        </is>
      </c>
    </row>
    <row r="34">
      <c r="B34" s="19" t="inlineStr">
        <is>
          <t>Capex (purchase of PPE + intangibles)</t>
        </is>
      </c>
      <c r="C34" s="15" t="n">
        <v>4.2</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0.095</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0.12</v>
      </c>
      <c r="F67" s="16" t="n">
        <v>0.2</v>
      </c>
      <c r="G67" s="16" t="n">
        <v>0.3</v>
      </c>
      <c r="H67" s="20" t="inlineStr">
        <is>
          <t>Revenue Rs 88.95 / 140.00 / 210.47 cr FY24-26 (+57%, +50%). The issue funds a new shed and plant (Rs 17.79 cr), paper-insulated conductor machinery (Rs 6.89 cr) and Rs 14 cr of working capital, so capacity rises from FY27-28. Neutral 20% then 16% / 13% / 11% / 9% (well below the last two years, as working capital, not demand, is the constraint); Bear 6-12%; Bull 30% fading to 11%. Utilisation is not known without the RHP.</t>
        </is>
      </c>
    </row>
    <row r="68">
      <c r="B68" t="inlineStr">
        <is>
          <t>Revenue growth Y2</t>
        </is>
      </c>
      <c r="C68" s="23">
        <f>INDEX(E68:G68,Assumptions!$C$5)</f>
        <v/>
      </c>
      <c r="E68" s="16" t="n">
        <v>0.1</v>
      </c>
      <c r="F68" s="16" t="n">
        <v>0.16</v>
      </c>
      <c r="G68" s="16" t="n">
        <v>0.24</v>
      </c>
      <c r="H68" s="20" t="inlineStr">
        <is>
          <t>[rationale + page]</t>
        </is>
      </c>
    </row>
    <row r="69">
      <c r="B69" t="inlineStr">
        <is>
          <t>Revenue growth Y3</t>
        </is>
      </c>
      <c r="C69" s="23">
        <f>INDEX(E69:G69,Assumptions!$C$5)</f>
        <v/>
      </c>
      <c r="E69" s="16" t="n">
        <v>0.08</v>
      </c>
      <c r="F69" s="16" t="n">
        <v>0.13</v>
      </c>
      <c r="G69" s="16" t="n">
        <v>0.18</v>
      </c>
      <c r="H69" s="20" t="inlineStr">
        <is>
          <t>[rationale + page]</t>
        </is>
      </c>
    </row>
    <row r="70">
      <c r="B70" t="inlineStr">
        <is>
          <t>Revenue growth Y4</t>
        </is>
      </c>
      <c r="C70" s="23">
        <f>INDEX(E70:G70,Assumptions!$C$5)</f>
        <v/>
      </c>
      <c r="E70" s="16" t="n">
        <v>0.07000000000000001</v>
      </c>
      <c r="F70" s="16" t="n">
        <v>0.11</v>
      </c>
      <c r="G70" s="16" t="n">
        <v>0.14</v>
      </c>
      <c r="H70" s="20" t="inlineStr">
        <is>
          <t>[rationale + page]</t>
        </is>
      </c>
    </row>
    <row r="71">
      <c r="B71" t="inlineStr">
        <is>
          <t>Revenue growth Y5</t>
        </is>
      </c>
      <c r="C71" s="23">
        <f>INDEX(E71:G71,Assumptions!$C$5)</f>
        <v/>
      </c>
      <c r="E71" s="16" t="n">
        <v>0.06</v>
      </c>
      <c r="F71" s="16" t="n">
        <v>0.09</v>
      </c>
      <c r="G71" s="16" t="n">
        <v>0.11</v>
      </c>
      <c r="H71" s="20" t="inlineStr">
        <is>
          <t>[rationale + page]</t>
        </is>
      </c>
    </row>
    <row r="72">
      <c r="B72" t="inlineStr">
        <is>
          <t>EBITDA margin Y1-Y5</t>
        </is>
      </c>
      <c r="C72" s="23">
        <f>INDEX(E72:G72,Assumptions!$C$5)</f>
        <v/>
      </c>
      <c r="E72" s="16" t="n">
        <v>0.08500000000000001</v>
      </c>
      <c r="F72" s="16" t="n">
        <v>0.105</v>
      </c>
      <c r="G72" s="16" t="n">
        <v>0.12</v>
      </c>
      <c r="H72" s="20" t="inlineStr">
        <is>
          <t>EBITDA margin 6.14% / 8.68% / 11.43% FY24-26 (EBITDA Rs 5.42 / 12.14 / 24.06 cr). FY26 is the first year at this level and is high for low-voltage cables, where copper is pass-through and margins are usually 8-12%. Neutral 10.5%; Bear 8.5% (FY25 level); Bull 12%.</t>
        </is>
      </c>
    </row>
    <row r="73">
      <c r="B73" t="inlineStr">
        <is>
          <t>Net working capital % revenue</t>
        </is>
      </c>
      <c r="C73" s="23">
        <f>INDEX(E73:G73,Assumptions!$C$5)</f>
        <v/>
      </c>
      <c r="E73" s="16" t="n">
        <v>0.47</v>
      </c>
      <c r="F73" s="16" t="n">
        <v>0.4</v>
      </c>
      <c r="G73" s="16" t="n">
        <v>0.35</v>
      </c>
      <c r="H73" s="20" t="inlineStr">
        <is>
          <t>Estimate: not reported by trackers. Total assets Rs 126.64 cr less estimated fixed assets (~Rs 15 cr) and cash (~Rs 1 cr) less non-debt liabilities (Rs 15.32 cr = total assets - net worth - borrowings) gives about Rs 95 cr (45% of revenue); FY25 about Rs 43 cr (31%). The FY26 sources and uses reconcile on this basis (PAT 13.4 + D&amp;A 1.2 + new debt 38.1 + new equity 3.8 = working capital build 52 + capex 4). FY26 is likely inflated by year-end government receivables; Neutral 40% (between FY25 and FY26); Bear 47%; Bull 35%.</t>
        </is>
      </c>
    </row>
    <row r="74">
      <c r="B74" t="inlineStr">
        <is>
          <t>Terminal ROIC</t>
        </is>
      </c>
      <c r="C74" s="23">
        <f>INDEX(E74:G74,Assumptions!$C$5)</f>
        <v/>
      </c>
      <c r="E74" s="16" t="n">
        <v>0.14</v>
      </c>
      <c r="F74" s="16" t="n">
        <v>0.18</v>
      </c>
      <c r="G74" s="16" t="n">
        <v>0.22</v>
      </c>
      <c r="H74" s="20" t="inlineStr">
        <is>
          <t>ROCE 39.68% and ROE 42.68% in FY26 on a thin equity base; terminal ROIC 18% (Neutral) after the issue adds equity and capacity.</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Prime Cable Industries Ltd (per share)</t>
        </is>
      </c>
      <c r="C5" s="20" t="inlineStr">
        <is>
          <t>Y</t>
        </is>
      </c>
      <c r="D5" s="20" t="inlineStr">
        <is>
          <t>LV cables, SME-listed - issuer's peer</t>
        </is>
      </c>
      <c r="E5" s="20" t="inlineStr">
        <is>
          <t>Standalone</t>
        </is>
      </c>
      <c r="F5" s="15" t="n">
        <v>182.43</v>
      </c>
      <c r="G5" s="15" t="n">
        <v>1</v>
      </c>
      <c r="H5" s="15" t="n"/>
      <c r="I5" s="15" t="n"/>
      <c r="J5" s="15" t="n"/>
      <c r="K5" s="15" t="n">
        <v>6.68</v>
      </c>
      <c r="L5" s="15" t="n">
        <v>33.17</v>
      </c>
      <c r="M5" s="16" t="n"/>
      <c r="N5" s="13">
        <f>IF(F5="","",F5*G5)</f>
        <v/>
      </c>
      <c r="O5" s="13">
        <f>IF(N5="","",N5+H5)</f>
        <v/>
      </c>
      <c r="P5" s="27">
        <f>IF(AND(C5="Y",N(K5)&gt;0),N5/K5,"")</f>
        <v/>
      </c>
      <c r="Q5" s="27">
        <f>IF(AND(C5="Y",N(J5)&gt;0),O5/J5,"")</f>
        <v/>
      </c>
      <c r="R5" s="27">
        <f>IF(AND(C5="Y",N(L5)&gt;0),N5/L5,"")</f>
        <v/>
      </c>
      <c r="S5" s="10">
        <f>IF(N(I5)&gt;0,J5/I5,"")</f>
        <v/>
      </c>
      <c r="T5" s="10">
        <f>IF(N(L5)&gt;0,K5/L5,"")</f>
        <v/>
      </c>
    </row>
    <row r="6">
      <c r="B6" s="20" t="inlineStr">
        <is>
          <t>JD Cables Ltd (per share)</t>
        </is>
      </c>
      <c r="C6" s="20" t="inlineStr">
        <is>
          <t>Y</t>
        </is>
      </c>
      <c r="D6" s="20" t="inlineStr">
        <is>
          <t>Power and control cables, SME-listed - issuer's peer</t>
        </is>
      </c>
      <c r="E6" s="20" t="inlineStr">
        <is>
          <t>Standalone</t>
        </is>
      </c>
      <c r="F6" s="15" t="n">
        <v>207.95</v>
      </c>
      <c r="G6" s="15" t="n">
        <v>1</v>
      </c>
      <c r="H6" s="15" t="n"/>
      <c r="I6" s="15" t="n"/>
      <c r="J6" s="15" t="n"/>
      <c r="K6" s="15" t="n">
        <v>14.07</v>
      </c>
      <c r="L6" s="15" t="n">
        <v>64.81999999999999</v>
      </c>
      <c r="M6" s="16" t="n"/>
      <c r="N6" s="13">
        <f>IF(F6="","",F6*G6)</f>
        <v/>
      </c>
      <c r="O6" s="13">
        <f>IF(N6="","",N6+H6)</f>
        <v/>
      </c>
      <c r="P6" s="27">
        <f>IF(AND(C6="Y",N(K6)&gt;0),N6/K6,"")</f>
        <v/>
      </c>
      <c r="Q6" s="27">
        <f>IF(AND(C6="Y",N(J6)&gt;0),O6/J6,"")</f>
        <v/>
      </c>
      <c r="R6" s="27">
        <f>IF(AND(C6="Y",N(L6)&gt;0),N6/L6,"")</f>
        <v/>
      </c>
      <c r="S6" s="10">
        <f>IF(N(I6)&gt;0,J6/I6,"")</f>
        <v/>
      </c>
      <c r="T6" s="10">
        <f>IF(N(L6)&gt;0,K6/L6,"")</f>
        <v/>
      </c>
    </row>
    <row r="7">
      <c r="B7" s="20" t="inlineStr">
        <is>
          <t>Susan Electricals India Ltd (per share)</t>
        </is>
      </c>
      <c r="C7" s="20" t="inlineStr">
        <is>
          <t>Y</t>
        </is>
      </c>
      <c r="D7" s="20" t="inlineStr">
        <is>
          <t>Wires and cables, SME-listed - issuer's peer</t>
        </is>
      </c>
      <c r="E7" s="20" t="inlineStr">
        <is>
          <t>Standalone</t>
        </is>
      </c>
      <c r="F7" s="15" t="n">
        <v>241.47</v>
      </c>
      <c r="G7" s="15" t="n">
        <v>1</v>
      </c>
      <c r="H7" s="15" t="n"/>
      <c r="I7" s="15" t="n"/>
      <c r="J7" s="15" t="n"/>
      <c r="K7" s="15" t="n">
        <v>11.96</v>
      </c>
      <c r="L7" s="15" t="n">
        <v>24.68</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2026-10-29T09:39:41Z</dcterms:created>
  <dcterms:modified xmlns:dcterms="http://purl.org/dc/terms/" xmlns:xsi="http://www.w3.org/2001/XMLSchema-instance" xsi:type="dcterms:W3CDTF">2026-10-29T09:39:41Z</dcterms:modified>
</cp:coreProperties>
</file>