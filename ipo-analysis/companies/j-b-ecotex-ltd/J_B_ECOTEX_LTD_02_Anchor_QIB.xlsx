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J B Ecotex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516.6799999999999</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 minimum contribution (20% of post-offer capital, at Rs 90.10 reference)</t>
        </is>
      </c>
      <c r="C11" s="11" t="n">
        <v>432.77</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p. 100; 3 years</t>
        </is>
      </c>
    </row>
    <row r="12">
      <c r="B12" s="18" t="inlineStr">
        <is>
          <t>Promoter holding above minimum contribution, after OFS</t>
        </is>
      </c>
      <c r="C12" s="11" t="n">
        <v>969.4</v>
      </c>
      <c r="D12" s="15" t="n">
        <v>365</v>
      </c>
      <c r="E12" s="24">
        <f>'Inputs'!$C$32+D12</f>
        <v/>
      </c>
      <c r="F12" s="19">
        <f>$C$5+SUMIF($E$9:$E$15,"&lt;"&amp;E12,$C$9:$C$15)</f>
        <v/>
      </c>
      <c r="G12" s="22">
        <f>IF(F12&gt;0,C12/F12,0)</f>
        <v/>
      </c>
      <c r="H12" s="19">
        <f>SUMIF($E$9:$E$15,"&lt;="&amp;E12,$C$9:$C$15)</f>
        <v/>
      </c>
      <c r="I12" s="20">
        <f>IF(C12=0,"-",IF(G12&gt;0.25,"RED: large cliff vs float",IF(G12&gt;0.1,"AMBER: watch","OK")))</f>
        <v/>
      </c>
      <c r="J12" s="10" t="inlineStr">
        <is>
          <t>p. 100; 1 year; confirm in RHP</t>
        </is>
      </c>
    </row>
    <row r="13">
      <c r="B13" s="18" t="inlineStr">
        <is>
          <t>Pre-issue public shareholders (10.94% pre-offer)</t>
        </is>
      </c>
      <c r="C13" s="11" t="n">
        <v>188.22</v>
      </c>
      <c r="D13" s="15" t="n">
        <v>180</v>
      </c>
      <c r="E13" s="24">
        <f>'Inputs'!$C$32+D13</f>
        <v/>
      </c>
      <c r="F13" s="19">
        <f>$C$5+SUMIF($E$9:$E$15,"&lt;"&amp;E13,$C$9:$C$15)</f>
        <v/>
      </c>
      <c r="G13" s="22">
        <f>IF(F13&gt;0,C13/F13,0)</f>
        <v/>
      </c>
      <c r="H13" s="19">
        <f>SUMIF($E$9:$E$15,"&lt;="&amp;E13,$C$9:$C$15)</f>
        <v/>
      </c>
      <c r="I13" s="20">
        <f>IF(C13=0,"-",IF(G13&gt;0.25,"RED: large cliff vs float",IF(G13&gt;0.1,"AMBER: watch","OK")))</f>
        <v/>
      </c>
      <c r="J13" s="10" t="inlineStr">
        <is>
          <t>pp. 100, 102; 6 months; confirm in RHP</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2026-10-07T14:08:07Z</dcterms:created>
  <dcterms:modified xsi:type="dcterms:W3CDTF">2026-10-07T14:08:07Z</dcterms:modified>
</cp:coreProperties>
</file>