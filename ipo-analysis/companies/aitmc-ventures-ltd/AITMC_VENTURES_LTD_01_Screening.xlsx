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AITMC Ventures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46295</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Khandwala Securities Limited</t>
        </is>
      </c>
      <c r="D14" s="8" t="inlineStr"/>
      <c r="E14" s="14" t="inlineStr">
        <is>
          <t>Compile BRLM track record (CIR/MIRSD/1/2012)</t>
        </is>
      </c>
    </row>
    <row r="15">
      <c r="B15" s="6" t="inlineStr">
        <is>
          <t>Figures from outside the offer document</t>
        </is>
      </c>
      <c r="C15" s="7" t="inlineStr">
        <is>
          <t>none (all figures from the UDRHP-I; peer prices derived from the document's own P/E x EPS)</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41.8733</v>
      </c>
      <c r="D5" s="16" t="n">
        <v>87.47</v>
      </c>
      <c r="E5" s="16" t="n">
        <v>106.7559</v>
      </c>
      <c r="F5" s="16" t="n"/>
      <c r="G5" s="7" t="inlineStr">
        <is>
          <t>p. 84</t>
        </is>
      </c>
    </row>
    <row r="6">
      <c r="B6" t="inlineStr">
        <is>
          <t>Other income</t>
        </is>
      </c>
      <c r="C6" s="16" t="n">
        <v>4.8735</v>
      </c>
      <c r="D6" s="16" t="n">
        <v>1.3151</v>
      </c>
      <c r="E6" s="16" t="n">
        <v>0.5143</v>
      </c>
      <c r="F6" s="16" t="n"/>
      <c r="G6" s="7" t="inlineStr">
        <is>
          <t>p. 84</t>
        </is>
      </c>
    </row>
    <row r="7">
      <c r="B7" t="inlineStr">
        <is>
          <t>Profit before tax</t>
        </is>
      </c>
      <c r="C7" s="16" t="n">
        <v>13.3858</v>
      </c>
      <c r="D7" s="16" t="n">
        <v>23.6308</v>
      </c>
      <c r="E7" s="16" t="n">
        <v>17.7797</v>
      </c>
      <c r="F7" s="16" t="n"/>
      <c r="G7" s="7" t="inlineStr">
        <is>
          <t>p. 84</t>
        </is>
      </c>
    </row>
    <row r="8">
      <c r="B8" t="inlineStr">
        <is>
          <t>Current tax</t>
        </is>
      </c>
      <c r="C8" s="16" t="n">
        <v>4.7555</v>
      </c>
      <c r="D8" s="16" t="n">
        <v>7.3346</v>
      </c>
      <c r="E8" s="16" t="n">
        <v>5.4691</v>
      </c>
      <c r="F8" s="16" t="n"/>
      <c r="G8" s="7" t="inlineStr">
        <is>
          <t>p. 84</t>
        </is>
      </c>
    </row>
    <row r="9">
      <c r="B9" t="inlineStr">
        <is>
          <t>Deferred tax</t>
        </is>
      </c>
      <c r="C9" s="16" t="n">
        <v>-0.0042</v>
      </c>
      <c r="D9" s="16" t="n">
        <v>0.1539</v>
      </c>
      <c r="E9" s="16" t="n">
        <v>-1.0728</v>
      </c>
      <c r="F9" s="16" t="n"/>
      <c r="G9" s="7" t="inlineStr">
        <is>
          <t>p. 84</t>
        </is>
      </c>
    </row>
    <row r="10">
      <c r="B10" t="inlineStr">
        <is>
          <t>PAT</t>
        </is>
      </c>
      <c r="C10" s="16" t="n">
        <v>8.634499999999999</v>
      </c>
      <c r="D10" s="16" t="n">
        <v>16.1423</v>
      </c>
      <c r="E10" s="16" t="n">
        <v>13.3834</v>
      </c>
      <c r="F10" s="16" t="n"/>
      <c r="G10" s="7" t="inlineStr">
        <is>
          <t>p. 84</t>
        </is>
      </c>
    </row>
    <row r="11">
      <c r="B11" t="inlineStr">
        <is>
          <t>Cash flow from operations</t>
        </is>
      </c>
      <c r="C11" s="16" t="n">
        <v>-5.9026</v>
      </c>
      <c r="D11" s="16" t="n">
        <v>-6.5874</v>
      </c>
      <c r="E11" s="16" t="n">
        <v>2.6679</v>
      </c>
      <c r="F11" s="16" t="n"/>
      <c r="G11" s="7" t="inlineStr">
        <is>
          <t>pp. 86-87</t>
        </is>
      </c>
    </row>
    <row r="12">
      <c r="B12" t="inlineStr">
        <is>
          <t>Related-party sales</t>
        </is>
      </c>
      <c r="C12" s="16" t="n">
        <v>0</v>
      </c>
      <c r="D12" s="16" t="n">
        <v>0</v>
      </c>
      <c r="E12" s="16" t="n">
        <v>0.1235</v>
      </c>
      <c r="F12" s="16" t="n"/>
      <c r="G12" s="7" t="inlineStr">
        <is>
          <t>pp. 89, 92; Annex. 47</t>
        </is>
      </c>
    </row>
    <row r="13">
      <c r="B13" t="inlineStr">
        <is>
          <t>Related-party purchases (incl. capex)</t>
        </is>
      </c>
      <c r="C13" s="16" t="n">
        <v>1.3341</v>
      </c>
      <c r="D13" s="16" t="n">
        <v>12.2869</v>
      </c>
      <c r="E13" s="16" t="n">
        <v>14.1103</v>
      </c>
      <c r="F13" s="16" t="n"/>
      <c r="G13" s="7" t="inlineStr">
        <is>
          <t>pp. 89, 92; Annex. 47</t>
        </is>
      </c>
    </row>
    <row r="14">
      <c r="B14" t="inlineStr">
        <is>
          <t>Net worth</t>
        </is>
      </c>
      <c r="C14" s="16" t="n">
        <v>30.357</v>
      </c>
      <c r="D14" s="16" t="n">
        <v>56.6296</v>
      </c>
      <c r="E14" s="16" t="n">
        <v>70.30719999999999</v>
      </c>
      <c r="F14" s="16" t="n"/>
      <c r="G14" s="7" t="inlineStr">
        <is>
          <t>pp. 82-83</t>
        </is>
      </c>
    </row>
    <row r="15">
      <c r="B15" t="inlineStr">
        <is>
          <t>Trade receivables</t>
        </is>
      </c>
      <c r="C15" s="16" t="n">
        <v>38.44</v>
      </c>
      <c r="D15" s="16" t="n">
        <v>43.5432</v>
      </c>
      <c r="E15" s="16" t="n">
        <v>61.8738</v>
      </c>
      <c r="F15" s="16" t="n"/>
      <c r="G15" s="7" t="inlineStr">
        <is>
          <t>pp. 82-83</t>
        </is>
      </c>
    </row>
    <row r="16">
      <c r="B16" t="inlineStr">
        <is>
          <t>Inventory</t>
        </is>
      </c>
      <c r="C16" s="16" t="n">
        <v>0.6292</v>
      </c>
      <c r="D16" s="16" t="n">
        <v>0.5977</v>
      </c>
      <c r="E16" s="16" t="n">
        <v>1.1242</v>
      </c>
      <c r="F16" s="16" t="n"/>
      <c r="G16" s="7" t="inlineStr">
        <is>
          <t>pp. 82-83</t>
        </is>
      </c>
    </row>
    <row r="17">
      <c r="B17" t="inlineStr">
        <is>
          <t>Trade payables</t>
        </is>
      </c>
      <c r="C17" s="16" t="n">
        <v>15.7717</v>
      </c>
      <c r="D17" s="16" t="n">
        <v>12.3647</v>
      </c>
      <c r="E17" s="16" t="n">
        <v>32.1928</v>
      </c>
      <c r="F17" s="16" t="n"/>
      <c r="G17" s="7" t="inlineStr">
        <is>
          <t>pp. 82-83</t>
        </is>
      </c>
    </row>
    <row r="18">
      <c r="B18" t="inlineStr">
        <is>
          <t>Contingent liabilities</t>
        </is>
      </c>
      <c r="C18" s="16" t="n">
        <v>0</v>
      </c>
      <c r="D18" s="16" t="n">
        <v>0</v>
      </c>
      <c r="E18" s="16" t="n">
        <v>0</v>
      </c>
      <c r="F18" s="16" t="n"/>
      <c r="G18" s="7" t="inlineStr">
        <is>
          <t>p. 88; Annex. 43</t>
        </is>
      </c>
    </row>
    <row r="19">
      <c r="B19" t="inlineStr">
        <is>
          <t>Goodwill + intangibles</t>
        </is>
      </c>
      <c r="C19" s="16" t="n">
        <v>0</v>
      </c>
      <c r="D19" s="16" t="n">
        <v>0</v>
      </c>
      <c r="E19" s="16" t="n">
        <v>0</v>
      </c>
      <c r="F19" s="16" t="n"/>
      <c r="G19" s="7" t="inlineStr">
        <is>
          <t>pp. 82-83</t>
        </is>
      </c>
    </row>
    <row r="20">
      <c r="B20" t="inlineStr">
        <is>
          <t>Revaluation reserve</t>
        </is>
      </c>
      <c r="C20" s="16" t="n">
        <v>0</v>
      </c>
      <c r="D20" s="16" t="n">
        <v>0</v>
      </c>
      <c r="E20" s="16" t="n">
        <v>0</v>
      </c>
      <c r="F20" s="16" t="n"/>
      <c r="G20" s="7" t="inlineStr">
        <is>
          <t>Annex. 20</t>
        </is>
      </c>
    </row>
    <row r="22">
      <c r="B22" s="3" t="inlineStr">
        <is>
          <t>Single-period inputs (latest)</t>
        </is>
      </c>
    </row>
    <row r="23">
      <c r="B23" t="inlineStr">
        <is>
          <t>Top customer % of revenue</t>
        </is>
      </c>
      <c r="E23" s="17" t="n">
        <v>0.1873</v>
      </c>
    </row>
    <row r="24">
      <c r="B24" t="inlineStr">
        <is>
          <t>Top-10 customers % of revenue</t>
        </is>
      </c>
      <c r="E24" s="17" t="n">
        <v>0.8358</v>
      </c>
    </row>
    <row r="25">
      <c r="B25" t="inlineStr">
        <is>
          <t>Top supplier % of purchases</t>
        </is>
      </c>
      <c r="E25" s="17" t="n">
        <v>0.202</v>
      </c>
    </row>
    <row r="26">
      <c r="B26" t="inlineStr">
        <is>
          <t>Largest state/country % of revenue</t>
        </is>
      </c>
      <c r="E26" s="17" t="n">
        <v>0.5847</v>
      </c>
    </row>
    <row r="27">
      <c r="B27" t="inlineStr">
        <is>
          <t>Fresh issue net of expenses</t>
        </is>
      </c>
      <c r="E27" s="16" t="n"/>
    </row>
    <row r="28">
      <c r="B28" t="inlineStr">
        <is>
          <t>Promoter weighted avg cost of acquisition (Rs)</t>
        </is>
      </c>
      <c r="E28" s="16" t="n"/>
    </row>
    <row r="29">
      <c r="B29" t="inlineStr">
        <is>
          <t>Offer price / cap (Rs)</t>
        </is>
      </c>
      <c r="E29" s="16" t="n"/>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WATCH</t>
        </is>
      </c>
      <c r="F5" s="7" t="inlineStr">
        <is>
          <t>pp. 202, 207; Annex. 42</t>
        </is>
      </c>
      <c r="G5" s="27" t="inlineStr">
        <is>
          <t>Bonus (1.5:1, Jun-2023) and 5-for-1 split (Sep-2023) fall inside FY24. Basis for Issue Price p. 202 prints FY24 basic EPS Rs 20.41 on the pre-split count (42.05 lakh shares) next to Rs 1.91 and Rs 1.50 on 8.98 crore shares, giving a basic weighted EPS of Rs 4.79; on one share base (FY24 Rs 1.76) it is about Rs 1.68. EPS numerators use total comprehensive income (FY26 Rs 13.51 cr vs PAT Rs 13.38 cr).</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FAIL</t>
        </is>
      </c>
      <c r="F6" s="7" t="inlineStr">
        <is>
          <t>pp. 86-87</t>
        </is>
      </c>
      <c r="G6" s="27" t="inlineStr">
        <is>
          <t>Operating cash flow -5.90 / -6.59 / +2.67 cr (FY24/25/26) against PAT 8.63 / 16.14 / 13.38 cr: cumulative CFO/PAT -25.7%. Capital advances (+Rs 9.59 cr FY26, +Rs 13.52 cr FY25) appear to sit inside operating cash flow rather than investing (balance-sheet movements match the 'other non-financial assets' line); adding them back gives FY26 +12.26 and FY25 +6.93 cr, still below PAT.</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WATCH</t>
        </is>
      </c>
      <c r="F7" s="7" t="inlineStr">
        <is>
          <t>p. 84; Annex. 31</t>
        </is>
      </c>
      <c r="G7" s="27" t="inlineStr">
        <is>
          <t>Current tax 4.76 / 7.33 / 5.47 cr (FY24/25/26) = 32.0% of cumulative PBT, so profit is taxed. But income tax paid (net) is Rs 11.07 cr against Rs 17.56 cr charged; the current-tax liability stands at Rs 6.86 cr at 31-Mar-2026.</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FAIL</t>
        </is>
      </c>
      <c r="F8" s="7" t="inlineStr">
        <is>
          <t>pp. 89-92; Annex. 47</t>
        </is>
      </c>
      <c r="G8" s="27" t="inlineStr">
        <is>
          <t>Purchases and cost of services from KMP-influenced entities Rs 14.11 cr in FY26 (24.3% of gross purchases of Rs 58.10 cr; 30.6% in FY25). Advances to related-party suppliers Rs 8.06 cr at FY26 (Rs 1.20 cr FY25), 11.5% of net worth. Farmers City International (apparently the subsidiary sold in FY25) now supplies the company. Capital advances Rs 25.81 cr (36.7% of net worth) are unreconciled to named vendors.</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WATCH</t>
        </is>
      </c>
      <c r="F9" s="7" t="inlineStr">
        <is>
          <t>pp. 134-135</t>
        </is>
      </c>
      <c r="G9" s="27" t="inlineStr">
        <is>
          <t>Objects need Rs 155.03 cr (Rs 20.00 cr debt repayment, Rs 135.03 cr capex) against a fixed fresh issue of 3.50 crore shares: price floor at least Rs 44.29 before offer expenses and GCP (up to 25% of gross). Last secondary transfers were at Rs 17.50 (p. 207); floor is 2.5x that.</t>
        </is>
      </c>
    </row>
    <row r="10" ht="42" customHeight="1">
      <c r="A10" s="26" t="inlineStr">
        <is>
          <t>6</t>
        </is>
      </c>
      <c r="B10" s="26" t="inlineStr">
        <is>
          <t>Revaluation reserves</t>
        </is>
      </c>
      <c r="C10" s="26" t="inlineStr">
        <is>
          <t>Any non-zero balance.</t>
        </is>
      </c>
      <c r="D10" s="26" t="inlineStr">
        <is>
          <t>Other equity note</t>
        </is>
      </c>
      <c r="E10" s="7" t="inlineStr">
        <is>
          <t>PASS</t>
        </is>
      </c>
      <c r="F10" s="7" t="inlineStr">
        <is>
          <t>Annex. 20</t>
        </is>
      </c>
      <c r="G10" s="27" t="inlineStr">
        <is>
          <t>No revaluation reserve in other equity (retained earnings, securities premium, OCI only).</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pp. 82-83</t>
        </is>
      </c>
      <c r="G11" s="27" t="inlineStr">
        <is>
          <t>No goodwill. Intangibles nil at 31-Mar-2025 and 31-Mar-2026.</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FAIL</t>
        </is>
      </c>
      <c r="F12" s="7" t="inlineStr">
        <is>
          <t>pp. 49-50, 302-303</t>
        </is>
      </c>
      <c r="G12" s="27" t="inlineStr">
        <is>
          <t>Top-1 customer 18.73%, top-5 71.13%, top-10 83.58% of FY26 revenue (88.55% FY24); names withheld for want of consent. Top-1 supplier 20.20%, top-10 69.66%, and three FY26 supplier amounts equal those of related parties; no supply contract disclosed. Delhi alone is 58.47% of FY26 revenue.</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 88; Annex. 43</t>
        </is>
      </c>
      <c r="G13" s="27" t="inlineStr">
        <is>
          <t>No contingent liabilities, but capital commitments of Rs 17.41 cr (Rs 1.49 cr FY25) are not provided for. One FIR (No. 33/2025, s. 420 IPC) is under investigation with notice issued to a director (pp. 447-448).</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 in this pass.</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 95</t>
        </is>
      </c>
      <c r="G15" s="27" t="inlineStr">
        <is>
          <t>NKSC &amp; Co appointed statutory auditor 30-Aug-2023; the document records no change since. Audit reports on the FY24 and FY25 consolidated statements were not reviewed in this pass.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PASS</t>
        </is>
      </c>
      <c r="F19" s="7" t="inlineStr">
        <is>
          <t>p. 459</t>
        </is>
      </c>
      <c r="G19" s="27" t="inlineStr">
        <is>
          <t>Reg 6(1) re-performed: operating profit (PAT + finance cost + tax - other income) 21.54 / 24.21 / 9.38 cr FY26/25/24, average 18.38 cr against the Rs 15 cr test; reproduces the document's figures. FY24 passes only at 9.38 cr, and the KPI table's EBITDA uses a different basis (it includes other income).</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is>
          <t>p. 466</t>
        </is>
      </c>
      <c r="G20" s="27" t="inlineStr">
        <is>
          <t>Khandwala Securities: 8 SME issues listed in the document, all 8 below issue price at day 30 (-4.2% to -67.8%); no mainboard IPO handled. The summary table does not reproduce the per-issue table. Full CIR/MIRSD/1/2012 track record not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2026-10-08T13:40:35Z</dcterms:created>
  <dcterms:modified xsi:type="dcterms:W3CDTF">2026-10-08T13:40:35Z</dcterms:modified>
</cp:coreProperties>
</file>